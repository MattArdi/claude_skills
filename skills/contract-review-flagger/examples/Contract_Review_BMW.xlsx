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Findings" sheetId="3" state="visible" r:id="rId3"/>
    <sheet name="Coverage" sheetId="4" state="visible" r:id="rId4"/>
    <sheet name="Checks" sheetId="5" state="visible" r:id="rId5"/>
  </sheets>
  <definedNames>
    <definedName name="_xlnm._FilterDatabase" localSheetId="2" hidden="1">'Findings'!$A$1:$H$10</definedName>
    <definedName name="_xlnm._FilterDatabase" localSheetId="3" hidden="1">'Coverage'!$A$1:$G$35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4B6B6"/>
      </patternFill>
    </fill>
    <fill>
      <patternFill patternType="solid">
        <fgColor rgb="FFF9D6A5"/>
      </patternFill>
    </fill>
    <fill>
      <patternFill patternType="solid">
        <fgColor rgb="FFFFF2B3"/>
      </patternFill>
    </fill>
    <fill>
      <patternFill patternType="solid">
        <fgColor rgb="FFDCEB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FFF4B6B6"/>
          <bgColor rgb="FFF4B6B6"/>
        </patternFill>
      </fill>
    </dxf>
    <dxf>
      <fill>
        <patternFill patternType="solid">
          <fgColor rgb="FFF9D6A5"/>
          <bgColor rgb="FFF9D6A5"/>
        </patternFill>
      </fill>
    </dxf>
    <dxf>
      <fill>
        <patternFill patternType="solid">
          <fgColor rgb="FFFFF2B3"/>
          <bgColor rgb="FFFFF2B3"/>
        </patternFill>
      </fill>
    </dxf>
    <dxf>
      <fill>
        <patternFill patternType="solid">
          <fgColor rgb="FFDCEBF7"/>
          <bgColor rgb="FFDC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What this workbook is</t>
        </is>
      </c>
      <c r="B2" s="3" t="n"/>
    </row>
    <row r="3">
      <c r="A3" s="4" t="inlineStr">
        <is>
          <t>One contract per workbook</t>
        </is>
      </c>
      <c r="B3" s="5" t="inlineStr">
        <is>
          <t>Produced by the contract review skill from the contract text and the Start2 standards workbook, then checked by a person. Counts and the recommendation update when you edit the Findings sheet.</t>
        </is>
      </c>
    </row>
    <row r="4">
      <c r="A4" s="2" t="inlineStr">
        <is>
          <t>How to use it</t>
        </is>
      </c>
      <c r="B4" s="3" t="n"/>
    </row>
    <row r="5">
      <c r="A5" s="4" t="inlineStr">
        <is>
          <t>1. Summary</t>
        </is>
      </c>
      <c r="B5" s="5" t="inlineStr">
        <is>
          <t>Read the role, the counts and the recommendation. Check the role guess first: if it is wrong, nothing else applies.</t>
        </is>
      </c>
    </row>
    <row r="6">
      <c r="A6" s="4" t="inlineStr">
        <is>
          <t>2. Findings</t>
        </is>
      </c>
      <c r="B6" s="5" t="inlineStr">
        <is>
          <t>Work down the list. It is sorted Critical to Low. Fix, negotiate or accept each item, and change Severity or Type if you disagree. Every Critical, High and client-clause finding must be confirmed by a person.</t>
        </is>
      </c>
    </row>
    <row r="7">
      <c r="A7" s="4" t="inlineStr">
        <is>
          <t>3. Coverage</t>
        </is>
      </c>
      <c r="B7" s="5" t="inlineStr">
        <is>
          <t>Use it to see which standard clauses are present, partial, deviant or missing. It is a view; issues are listed in Findings.</t>
        </is>
      </c>
    </row>
    <row r="8">
      <c r="A8" s="4" t="inlineStr">
        <is>
          <t>4. Checks</t>
        </is>
      </c>
      <c r="B8" s="5" t="inlineStr">
        <is>
          <t>The 12 execution checks. A failed check also appears in Findings.</t>
        </is>
      </c>
    </row>
    <row r="9">
      <c r="A9" s="2" t="inlineStr">
        <is>
          <t>Severity</t>
        </is>
      </c>
      <c r="B9" s="3" t="n"/>
    </row>
    <row r="10">
      <c r="A10" s="4" t="inlineStr">
        <is>
          <t>Critical</t>
        </is>
      </c>
      <c r="B10" s="5" t="inlineStr">
        <is>
          <t>Do not sign (if already executed, escalate at once). Reject threshold met, hard stop, wrong entity, no liability cap, blank essential fields.</t>
        </is>
      </c>
    </row>
    <row r="11">
      <c r="A11" s="4" t="inlineStr">
        <is>
          <t>High</t>
        </is>
      </c>
      <c r="B11" s="5" t="inlineStr">
        <is>
          <t>Fix, or have the full sign-off chain knowingly accept it, before signing. Material cash, liability, IP, data, forum or scope exposure.</t>
        </is>
      </c>
    </row>
    <row r="12">
      <c r="A12" s="4" t="inlineStr">
        <is>
          <t>Medium</t>
        </is>
      </c>
      <c r="B12" s="5" t="inlineStr">
        <is>
          <t>Should be fixed. Negotiable. Raises dispute risk but not direct cash loss.</t>
        </is>
      </c>
    </row>
    <row r="13">
      <c r="A13" s="4" t="inlineStr">
        <is>
          <t>Low</t>
        </is>
      </c>
      <c r="B13" s="5" t="inlineStr">
        <is>
          <t>Housekeeping, optional clauses, accepted client clauses.</t>
        </is>
      </c>
    </row>
    <row r="14">
      <c r="A14" s="2" t="inlineStr">
        <is>
          <t>Sheet: Summary (Item / Value / Where)</t>
        </is>
      </c>
      <c r="B14" s="3" t="n"/>
    </row>
    <row r="15">
      <c r="A15" s="4" t="inlineStr">
        <is>
          <t>Contract</t>
        </is>
      </c>
      <c r="B15" s="5" t="inlineStr">
        <is>
          <t>Name or title of the contract being reviewed.</t>
        </is>
      </c>
    </row>
    <row r="16">
      <c r="A16" s="4" t="inlineStr">
        <is>
          <t>Source file</t>
        </is>
      </c>
      <c r="B16" s="5" t="inlineStr">
        <is>
          <t>File name of the contract that was reviewed.</t>
        </is>
      </c>
    </row>
    <row r="17">
      <c r="A17" s="4" t="inlineStr">
        <is>
          <t>Status</t>
        </is>
      </c>
      <c r="B17" s="5" t="inlineStr">
        <is>
          <t>Draft (unsigned) or Executed (signed). Executed contracts get remediation wording instead of sign/no-sign.</t>
        </is>
      </c>
    </row>
    <row r="18">
      <c r="A18" s="4" t="inlineStr">
        <is>
          <t>Contract type</t>
        </is>
      </c>
      <c r="B18" s="5" t="inlineStr">
        <is>
          <t>Service, Funding, Vendor or Other. Funding agreements (grants, claims, audits) read the fee and cost clauses differently.</t>
        </is>
      </c>
    </row>
    <row r="19">
      <c r="A19" s="4" t="inlineStr">
        <is>
          <t>Whose paper</t>
        </is>
      </c>
      <c r="B19" s="5" t="inlineStr">
        <is>
          <t>Start2 template unmodified, Start2 template modified, or client or third-party paper. Sets the review lead time: 3 business days for the unmodified template, otherwise 5.</t>
        </is>
      </c>
    </row>
    <row r="20">
      <c r="A20" s="4" t="inlineStr">
        <is>
          <t>Standards version</t>
        </is>
      </c>
      <c r="B20" s="5" t="inlineStr">
        <is>
          <t>Version of the standards workbook the contract was checked against.</t>
        </is>
      </c>
    </row>
    <row r="21">
      <c r="A21" s="4" t="inlineStr">
        <is>
          <t>Our entity</t>
        </is>
      </c>
      <c r="B21" s="5" t="inlineStr">
        <is>
          <t>The Start2 entity in this contract. Guessed from the entity list and the text when not obvious.</t>
        </is>
      </c>
    </row>
    <row r="22">
      <c r="A22" s="4" t="inlineStr">
        <is>
          <t>Our role</t>
        </is>
      </c>
      <c r="B22" s="5" t="inlineStr">
        <is>
          <t>Provider, Buyer or Other. The standards cover provider-side contracts only. If the role is not Provider, standards coverage is not applied and the recommendation says so.</t>
        </is>
      </c>
    </row>
    <row r="23">
      <c r="A23" s="4" t="inlineStr">
        <is>
          <t>Role basis</t>
        </is>
      </c>
      <c r="B23" s="5" t="inlineStr">
        <is>
          <t>One sentence on why that role was chosen. Always filled when the role was guessed.</t>
        </is>
      </c>
    </row>
    <row r="24">
      <c r="A24" s="4" t="inlineStr">
        <is>
          <t>Counterparty</t>
        </is>
      </c>
      <c r="B24" s="5" t="inlineStr">
        <is>
          <t>The other party.</t>
        </is>
      </c>
    </row>
    <row r="25">
      <c r="A25" s="4" t="inlineStr">
        <is>
          <t>Critical / High / Medium / Low</t>
        </is>
      </c>
      <c r="B25" s="5" t="inlineStr">
        <is>
          <t>Formulas: number of Findings at each severity.</t>
        </is>
      </c>
    </row>
    <row r="26">
      <c r="A26" s="4" t="inlineStr">
        <is>
          <t>Recommendation</t>
        </is>
      </c>
      <c r="B26" s="5" t="inlineStr">
        <is>
          <t>Formula. Draft: any Critical = Escalate; any High = Proceed with named conditions; otherwise Proceed. Executed: no signature gate; Critical items are escalated and High items logged for amendment or renewal.</t>
        </is>
      </c>
    </row>
    <row r="27">
      <c r="A27" s="4" t="inlineStr">
        <is>
          <t>Review lead time</t>
        </is>
      </c>
      <c r="B27" s="5" t="inlineStr">
        <is>
          <t>Formula from Whose paper.</t>
        </is>
      </c>
    </row>
    <row r="28">
      <c r="A28" s="4" t="inlineStr">
        <is>
          <t>Sign-off chain</t>
        </is>
      </c>
      <c r="B28" s="5" t="inlineStr">
        <is>
          <t>Fixed. Every contract goes to all three approvers in order.</t>
        </is>
      </c>
    </row>
    <row r="29">
      <c r="A29" s="4" t="inlineStr">
        <is>
          <t>Key facts (Fact / Value / Where)</t>
        </is>
      </c>
      <c r="B29" s="5" t="inlineStr">
        <is>
          <t>Facts used in the review: parties, dates, amounts, law, forum, language, annexes, with arithmetic checks. Where gives the contract reference and page.</t>
        </is>
      </c>
    </row>
    <row r="30">
      <c r="A30" s="2" t="inlineStr">
        <is>
          <t>Sheet: Findings (one row per issue)</t>
        </is>
      </c>
      <c r="B30" s="3" t="n"/>
    </row>
    <row r="31">
      <c r="A31" s="4" t="inlineStr">
        <is>
          <t>#</t>
        </is>
      </c>
      <c r="B31" s="5" t="inlineStr">
        <is>
          <t>Running number.</t>
        </is>
      </c>
    </row>
    <row r="32">
      <c r="A32" s="4" t="inlineStr">
        <is>
          <t>Severity</t>
        </is>
      </c>
      <c r="B32" s="5" t="inlineStr">
        <is>
          <t>Critical, High, Medium or Low (drop-down).</t>
        </is>
      </c>
    </row>
    <row r="33">
      <c r="A33" s="4" t="inlineStr">
        <is>
          <t>Type</t>
        </is>
      </c>
      <c r="B33" s="5" t="inlineStr">
        <is>
          <t>Missing, Partial or Deviant (a standard clause); Client: Reject, Escalate, Conditional or Accept (a client-added clause matched to the playbook); Unclassified clause (not in the standard or playbook, generic screen); Commercial (fee, dates, arithmetic); Execution (a failed check); Other.</t>
        </is>
      </c>
    </row>
    <row r="34">
      <c r="A34" s="4" t="inlineStr">
        <is>
          <t>Clause</t>
        </is>
      </c>
      <c r="B34" s="5" t="inlineStr">
        <is>
          <t>Standard clause ID (for example LOL), the playbook row name, or Check n.</t>
        </is>
      </c>
    </row>
    <row r="35">
      <c r="A35" s="4" t="inlineStr">
        <is>
          <t>Where</t>
        </is>
      </c>
      <c r="B35" s="5" t="inlineStr">
        <is>
          <t>Contract clause number and page, for example 13.1 (p. 10). 'Not in contract' for an absent clause.</t>
        </is>
      </c>
    </row>
    <row r="36">
      <c r="A36" s="4" t="inlineStr">
        <is>
          <t>Quote</t>
        </is>
      </c>
      <c r="B36" s="5" t="inlineStr">
        <is>
          <t>Verbatim text from the contract. Scanned contracts are transcribed from page images, so check the page before relying on a quote.</t>
        </is>
      </c>
    </row>
    <row r="37">
      <c r="A37" s="4" t="inlineStr">
        <is>
          <t>Issue</t>
        </is>
      </c>
      <c r="B37" s="5" t="inlineStr">
        <is>
          <t>What is wrong and why it matters, against the standard.</t>
        </is>
      </c>
    </row>
    <row r="38">
      <c r="A38" s="4" t="inlineStr">
        <is>
          <t>Action</t>
        </is>
      </c>
      <c r="B38" s="5" t="inlineStr">
        <is>
          <t>What to do: insert, change, accept, escalate, or confirm.</t>
        </is>
      </c>
    </row>
    <row r="39">
      <c r="A39" s="2" t="inlineStr">
        <is>
          <t>Sheet: Coverage (one row per standard clause)</t>
        </is>
      </c>
      <c r="B39" s="3" t="n"/>
    </row>
    <row r="40">
      <c r="A40" s="4" t="inlineStr">
        <is>
          <t>ID</t>
        </is>
      </c>
      <c r="B40" s="5" t="inlineStr">
        <is>
          <t>Stable clause key from the standards workbook.</t>
        </is>
      </c>
    </row>
    <row r="41">
      <c r="A41" s="4" t="inlineStr">
        <is>
          <t>Clause</t>
        </is>
      </c>
      <c r="B41" s="5" t="inlineStr">
        <is>
          <t>Clause name.</t>
        </is>
      </c>
    </row>
    <row r="42">
      <c r="A42" s="4" t="inlineStr">
        <is>
          <t>Base severity</t>
        </is>
      </c>
      <c r="B42" s="5" t="inlineStr">
        <is>
          <t>Severity if the clause is missing or deviant. Editable for this contract (for example raise anti-bribery to Medium for a government counterparty). n/a for internal rules.</t>
        </is>
      </c>
    </row>
    <row r="43">
      <c r="A43" s="4" t="inlineStr">
        <is>
          <t>Verdict</t>
        </is>
      </c>
      <c r="B43" s="5" t="inlineStr">
        <is>
          <t>Conforming, Partial, Deviant, Missing, or N/A (drop-down).</t>
        </is>
      </c>
    </row>
    <row r="44">
      <c r="A44" s="4" t="inlineStr">
        <is>
          <t>Where</t>
        </is>
      </c>
      <c r="B44" s="5" t="inlineStr">
        <is>
          <t>Contract clause number and page where the clause was found.</t>
        </is>
      </c>
    </row>
    <row r="45">
      <c r="A45" s="4" t="inlineStr">
        <is>
          <t>Severity</t>
        </is>
      </c>
      <c r="B45" s="5" t="inlineStr">
        <is>
          <t>Formula. Missing or Deviant = Base severity; Partial = one level lower (floor Low); Conforming or N/A = '-'.</t>
        </is>
      </c>
    </row>
    <row r="46">
      <c r="A46" s="4" t="inlineStr">
        <is>
          <t>Note</t>
        </is>
      </c>
      <c r="B46" s="5" t="inlineStr">
        <is>
          <t>One line on what is present or absent. Details are in Findings.</t>
        </is>
      </c>
    </row>
    <row r="47">
      <c r="A47" s="2" t="inlineStr">
        <is>
          <t>Sheet: Checks (one row per execution check)</t>
        </is>
      </c>
      <c r="B47" s="3" t="n"/>
    </row>
    <row r="48">
      <c r="A48" s="4" t="inlineStr">
        <is>
          <t>#</t>
        </is>
      </c>
      <c r="B48" s="5" t="inlineStr">
        <is>
          <t>Number of the check in the standards workbook.</t>
        </is>
      </c>
    </row>
    <row r="49">
      <c r="A49" s="4" t="inlineStr">
        <is>
          <t>Check</t>
        </is>
      </c>
      <c r="B49" s="5" t="inlineStr">
        <is>
          <t>What is verified before a draft leaves Start2 and again before signature.</t>
        </is>
      </c>
    </row>
    <row r="50">
      <c r="A50" s="4" t="inlineStr">
        <is>
          <t>Result</t>
        </is>
      </c>
      <c r="B50" s="5" t="inlineStr">
        <is>
          <t>Pass, Fail, N/A or Cannot verify (drop-down).</t>
        </is>
      </c>
    </row>
    <row r="51">
      <c r="A51" s="4" t="inlineStr">
        <is>
          <t>Evidence</t>
        </is>
      </c>
      <c r="B51" s="5" t="inlineStr">
        <is>
          <t>What was seen, with page references.</t>
        </is>
      </c>
    </row>
    <row r="52">
      <c r="A52" s="2" t="inlineStr">
        <is>
          <t>Rules</t>
        </is>
      </c>
      <c r="B52" s="3" t="n"/>
    </row>
    <row r="53">
      <c r="A53" s="4" t="inlineStr">
        <is>
          <t>Counts</t>
        </is>
      </c>
      <c r="B53" s="5" t="inlineStr">
        <is>
          <t>Counts and the recommendation use the Findings sheet only. Coverage severity is a view and is not counted.</t>
        </is>
      </c>
    </row>
    <row r="54">
      <c r="A54" s="4" t="inlineStr">
        <is>
          <t>Role</t>
        </is>
      </c>
      <c r="B54" s="5" t="inlineStr">
        <is>
          <t>The role is guessed when unclear and recorded on Summary. The skill never stops to ask.</t>
        </is>
      </c>
    </row>
    <row r="55">
      <c r="A55" s="4" t="inlineStr">
        <is>
          <t>Not legal advice</t>
        </is>
      </c>
      <c r="B55" s="5" t="inlineStr">
        <is>
          <t>A screen against Start2 standards. Decisions follow the sign-off chain.</t>
        </is>
      </c>
    </row>
  </sheetData>
  <mergeCells count="8">
    <mergeCell ref="A4:B4"/>
    <mergeCell ref="A30:B30"/>
    <mergeCell ref="A2:B2"/>
    <mergeCell ref="A52:B52"/>
    <mergeCell ref="A47:B47"/>
    <mergeCell ref="A14:B14"/>
    <mergeCell ref="A9:B9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3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Where</t>
        </is>
      </c>
    </row>
    <row r="2">
      <c r="A2" s="2" t="inlineStr">
        <is>
          <t>Contract</t>
        </is>
      </c>
      <c r="B2" s="2" t="n"/>
      <c r="C2" s="2" t="n"/>
    </row>
    <row r="3">
      <c r="A3" s="4" t="inlineStr">
        <is>
          <t>Contract</t>
        </is>
      </c>
      <c r="B3" s="5" t="inlineStr">
        <is>
          <t>BMW DEMO DAY2 Offline Event Service Contract (English translation)</t>
        </is>
      </c>
      <c r="C3" s="5" t="n"/>
    </row>
    <row r="4">
      <c r="A4" s="4" t="inlineStr">
        <is>
          <t>Source file</t>
        </is>
      </c>
      <c r="B4" s="5" t="inlineStr">
        <is>
          <t>3a7d52e2-BMW_China_EN_Translated_version_1_BMW_DEMO_DAY2_Contract_English_Complete.pdf (4 pages)</t>
        </is>
      </c>
      <c r="C4" s="5" t="n"/>
    </row>
    <row r="5">
      <c r="A5" s="4" t="inlineStr">
        <is>
          <t>Status</t>
        </is>
      </c>
      <c r="B5" s="5" t="inlineStr">
        <is>
          <t>Draft</t>
        </is>
      </c>
      <c r="C5" s="5" t="n"/>
    </row>
    <row r="6">
      <c r="A6" s="4" t="inlineStr">
        <is>
          <t>Contract type</t>
        </is>
      </c>
      <c r="B6" s="5" t="inlineStr">
        <is>
          <t>Vendor</t>
        </is>
      </c>
      <c r="C6" s="5" t="n"/>
    </row>
    <row r="7">
      <c r="A7" s="4" t="inlineStr">
        <is>
          <t>Whose paper</t>
        </is>
      </c>
      <c r="B7" s="5" t="inlineStr">
        <is>
          <t>Client or third-party paper</t>
        </is>
      </c>
      <c r="C7" s="5" t="n"/>
    </row>
    <row r="8">
      <c r="A8" s="4" t="inlineStr">
        <is>
          <t>Standards version</t>
        </is>
      </c>
      <c r="B8" s="5" t="inlineStr">
        <is>
          <t>Start2_Asia_Contract_Standards_UP_15_Oct_v5</t>
        </is>
      </c>
      <c r="C8" s="5" t="n"/>
    </row>
    <row r="9">
      <c r="A9" s="2" t="inlineStr">
        <is>
          <t>Our side</t>
        </is>
      </c>
      <c r="B9" s="2" t="n"/>
      <c r="C9" s="2" t="n"/>
    </row>
    <row r="10">
      <c r="A10" s="4" t="inlineStr">
        <is>
          <t>Our entity</t>
        </is>
      </c>
      <c r="B10" s="5" t="inlineStr">
        <is>
          <t>Deruchuang Consulting Management (Shanghai) Co., Ltd. (Party A), assumed</t>
        </is>
      </c>
      <c r="C10" s="5" t="n"/>
    </row>
    <row r="11">
      <c r="A11" s="4" t="inlineStr">
        <is>
          <t>Our role</t>
        </is>
      </c>
      <c r="B11" s="5" t="inlineStr">
        <is>
          <t>Buyer</t>
        </is>
      </c>
      <c r="C11" s="5" t="n"/>
    </row>
    <row r="12">
      <c r="A12" s="4" t="inlineStr">
        <is>
          <t>Role basis</t>
        </is>
      </c>
      <c r="B12" s="5" t="inlineStr">
        <is>
          <t>Start2 is not named. Party A pays for and entrusts live streaming, filming and execution to Party B, a Xi'an vendor; a Shanghai consulting-management company fits a Start2 China entity (assumed).</t>
        </is>
      </c>
      <c r="C12" s="5" t="n"/>
    </row>
    <row r="13">
      <c r="A13" s="4" t="inlineStr">
        <is>
          <t>Counterparty</t>
        </is>
      </c>
      <c r="B13" s="5" t="inlineStr">
        <is>
          <t>Shaanxi Lijimei Enterprise Consulting Management Co., Ltd. (Party B)</t>
        </is>
      </c>
      <c r="C13" s="5" t="n"/>
    </row>
    <row r="14">
      <c r="A14" s="2" t="inlineStr">
        <is>
          <t>Result</t>
        </is>
      </c>
      <c r="B14" s="2" t="n"/>
      <c r="C14" s="2" t="n"/>
    </row>
    <row r="15">
      <c r="A15" s="6" t="inlineStr">
        <is>
          <t>Critical</t>
        </is>
      </c>
      <c r="B15" s="7">
        <f>COUNTIF(Findings!$B$2:$B$300,"Critical")</f>
        <v/>
      </c>
      <c r="C15" s="5" t="n"/>
    </row>
    <row r="16">
      <c r="A16" s="8" t="inlineStr">
        <is>
          <t>High</t>
        </is>
      </c>
      <c r="B16" s="7">
        <f>COUNTIF(Findings!$B$2:$B$300,"High")</f>
        <v/>
      </c>
      <c r="C16" s="5" t="n"/>
    </row>
    <row r="17">
      <c r="A17" s="9" t="inlineStr">
        <is>
          <t>Medium</t>
        </is>
      </c>
      <c r="B17" s="7">
        <f>COUNTIF(Findings!$B$2:$B$300,"Medium")</f>
        <v/>
      </c>
      <c r="C17" s="5" t="n"/>
    </row>
    <row r="18">
      <c r="A18" s="10" t="inlineStr">
        <is>
          <t>Low</t>
        </is>
      </c>
      <c r="B18" s="7">
        <f>COUNTIF(Findings!$B$2:$B$300,"Low")</f>
        <v/>
      </c>
      <c r="C18" s="5" t="n"/>
    </row>
    <row r="19">
      <c r="A19" s="4" t="inlineStr">
        <is>
          <t>Recommendation</t>
        </is>
      </c>
      <c r="B19" s="5">
        <f>IF(OR(B5="",B11=""),"",IF(B11&lt;&gt;"Provider","Not assessed: the standards cover provider-side contracts only",IF(B5="Executed",IF(B15&gt;0,"Executed: escalate Critical items and log High items for amendment or renewal",IF(B16&gt;0,"Executed: log High items for amendment or renewal","Executed: no action required")),IF(B15&gt;0,"Escalate",IF(B16&gt;0,"Proceed with named conditions","Proceed")))))</f>
        <v/>
      </c>
      <c r="C19" s="5" t="n"/>
    </row>
    <row r="20">
      <c r="A20" s="4" t="inlineStr">
        <is>
          <t>Review lead time</t>
        </is>
      </c>
      <c r="B20" s="5">
        <f>IF(B7="","",IF(B7="Start2 template, unmodified","3 business days","5 business days"))</f>
        <v/>
      </c>
      <c r="C20" s="5" t="n"/>
    </row>
    <row r="21">
      <c r="A21" s="4" t="inlineStr">
        <is>
          <t>Sign-off chain</t>
        </is>
      </c>
      <c r="B21" s="5" t="inlineStr">
        <is>
          <t>1. Director of People and Operations; 2. Regional Director of Innovation and Product Strategy; 3. CEO. Applies to every contract.</t>
        </is>
      </c>
      <c r="C21" s="5" t="n"/>
    </row>
    <row r="22">
      <c r="A22" s="2" t="inlineStr">
        <is>
          <t>Key facts</t>
        </is>
      </c>
      <c r="B22" s="2" t="n"/>
      <c r="C22" s="2" t="n"/>
    </row>
    <row r="23">
      <c r="A23" s="4" t="inlineStr">
        <is>
          <t>Fee</t>
        </is>
      </c>
      <c r="B23" s="5" t="inlineStr">
        <is>
          <t>RMB 61,300 excl. tax; RMB 61,920 incl. tax; implied tax about 1.01%</t>
        </is>
      </c>
      <c r="C23" s="5" t="inlineStr">
        <is>
          <t>II; p. 3</t>
        </is>
      </c>
    </row>
    <row r="24">
      <c r="A24" s="4" t="inlineStr">
        <is>
          <t>Prepayment</t>
        </is>
      </c>
      <c r="B24" s="5" t="inlineStr">
        <is>
          <t>60% = RMB 36,780 (equals 60% of 61,300, correct); due before Nov 28, 2025</t>
        </is>
      </c>
      <c r="C24" s="5" t="inlineStr">
        <is>
          <t>II; p. 3</t>
        </is>
      </c>
    </row>
    <row r="25">
      <c r="A25" s="4" t="inlineStr">
        <is>
          <t>Balance</t>
        </is>
      </c>
      <c r="B25" s="5" t="inlineStr">
        <is>
          <t>Not stated (40% = RMB 24,520 on the excl-tax base)</t>
        </is>
      </c>
      <c r="C25" s="5" t="inlineStr">
        <is>
          <t>I.4; p. 2</t>
        </is>
      </c>
    </row>
    <row r="26">
      <c r="A26" s="4" t="inlineStr">
        <is>
          <t>Dates</t>
        </is>
      </c>
      <c r="B26" s="5" t="inlineStr">
        <is>
          <t>Service period Dec 3, 2025 and Dec 4, 2024 (conflict)</t>
        </is>
      </c>
      <c r="C26" s="5" t="inlineStr">
        <is>
          <t>I; p. 1</t>
        </is>
      </c>
    </row>
    <row r="27">
      <c r="A27" s="4" t="inlineStr">
        <is>
          <t>Governing law / forum</t>
        </is>
      </c>
      <c r="B27" s="5" t="inlineStr">
        <is>
          <t>PRC law; People's Court at Party B's location</t>
        </is>
      </c>
      <c r="C27" s="5" t="inlineStr">
        <is>
          <t>VIII; p. 4</t>
        </is>
      </c>
    </row>
    <row r="28">
      <c r="A28" s="4" t="inlineStr">
        <is>
          <t>Language</t>
        </is>
      </c>
      <c r="B28" s="5" t="inlineStr">
        <is>
          <t>English translation of a Chinese original</t>
        </is>
      </c>
      <c r="C28" s="5" t="inlineStr"/>
    </row>
  </sheetData>
  <conditionalFormatting sqref="A15:A18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4">
    <dataValidation sqref="B5" showDropDown="0" showInputMessage="0" showErrorMessage="0" allowBlank="1" type="list">
      <formula1>"Draft,Executed"</formula1>
    </dataValidation>
    <dataValidation sqref="B6" showDropDown="0" showInputMessage="0" showErrorMessage="0" allowBlank="1" type="list">
      <formula1>"Service,Funding,Vendor,Other"</formula1>
    </dataValidation>
    <dataValidation sqref="B7" showDropDown="0" showInputMessage="0" showErrorMessage="0" allowBlank="1" type="list">
      <formula1>"Start2 template, unmodified,Start2 template, modified,Client or third-party paper"</formula1>
    </dataValidation>
    <dataValidation sqref="B11" showDropDown="0" showInputMessage="0" showErrorMessage="0" allowBlank="1" type="list">
      <formula1>"Provider,Buyer,Other"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18" customWidth="1" min="4" max="4"/>
    <col width="22" customWidth="1" min="5" max="5"/>
    <col width="50" customWidth="1" min="6" max="6"/>
    <col width="62" customWidth="1" min="7" max="7"/>
    <col width="44" customWidth="1" min="8" max="8"/>
  </cols>
  <sheetData>
    <row r="1">
      <c r="A1" s="1" t="inlineStr">
        <is>
          <t>#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Clause</t>
        </is>
      </c>
      <c r="E1" s="1" t="inlineStr">
        <is>
          <t>Where</t>
        </is>
      </c>
      <c r="F1" s="1" t="inlineStr">
        <is>
          <t>Quote</t>
        </is>
      </c>
      <c r="G1" s="1" t="inlineStr">
        <is>
          <t>Issue</t>
        </is>
      </c>
      <c r="H1" s="1" t="inlineStr">
        <is>
          <t>Action</t>
        </is>
      </c>
    </row>
    <row r="2">
      <c r="A2" s="5" t="n">
        <v>1</v>
      </c>
      <c r="B2" s="5" t="inlineStr">
        <is>
          <t>High</t>
        </is>
      </c>
      <c r="C2" s="5" t="inlineStr">
        <is>
          <t>Execution</t>
        </is>
      </c>
      <c r="D2" s="5" t="inlineStr">
        <is>
          <t>Check 1</t>
        </is>
      </c>
      <c r="E2" s="5" t="inlineStr">
        <is>
          <t>Cover (p. 1)</t>
        </is>
      </c>
      <c r="F2" s="5" t="inlineStr">
        <is>
          <t>Authorized Representative: / Contact Number:</t>
        </is>
      </c>
      <c r="G2" s="5" t="inlineStr">
        <is>
          <t>Party A authorised representative and contact number are blank; signature and date lines are blank.</t>
        </is>
      </c>
      <c r="H2" s="5" t="inlineStr">
        <is>
          <t>Complete before signature.</t>
        </is>
      </c>
    </row>
    <row r="3">
      <c r="A3" s="5" t="n">
        <v>2</v>
      </c>
      <c r="B3" s="5" t="inlineStr">
        <is>
          <t>High</t>
        </is>
      </c>
      <c r="C3" s="5" t="inlineStr">
        <is>
          <t>Execution</t>
        </is>
      </c>
      <c r="D3" s="5" t="inlineStr">
        <is>
          <t>Check 3</t>
        </is>
      </c>
      <c r="E3" s="5" t="inlineStr">
        <is>
          <t>I Project service period (p. 1)</t>
        </is>
      </c>
      <c r="F3" s="5" t="inlineStr">
        <is>
          <t>Project service period: December 3, 2025 and December 4, 2024</t>
        </is>
      </c>
      <c r="G3" s="5" t="inlineStr">
        <is>
          <t>Service period dates conflict by one year.</t>
        </is>
      </c>
      <c r="H3" s="5" t="inlineStr">
        <is>
          <t>Correct to 2025 and confirm with all stage dates.</t>
        </is>
      </c>
    </row>
    <row r="4">
      <c r="A4" s="5" t="n">
        <v>3</v>
      </c>
      <c r="B4" s="5" t="inlineStr">
        <is>
          <t>High</t>
        </is>
      </c>
      <c r="C4" s="5" t="inlineStr">
        <is>
          <t>Execution</t>
        </is>
      </c>
      <c r="D4" s="5" t="inlineStr">
        <is>
          <t>Check 9</t>
        </is>
      </c>
      <c r="E4" s="5" t="inlineStr">
        <is>
          <t>Attachment 1 (p. 4)</t>
        </is>
      </c>
      <c r="F4" s="5" t="inlineStr">
        <is>
          <t>Attachment 1: Budget Details List</t>
        </is>
      </c>
      <c r="G4" s="5" t="inlineStr">
        <is>
          <t>Budget attachment is a title only. I.1 relies on it ("see Attachment 1").</t>
        </is>
      </c>
      <c r="H4" s="5" t="inlineStr">
        <is>
          <t>Attach the budget.</t>
        </is>
      </c>
    </row>
    <row r="5">
      <c r="A5" s="5" t="n">
        <v>4</v>
      </c>
      <c r="B5" s="5" t="inlineStr">
        <is>
          <t>High</t>
        </is>
      </c>
      <c r="C5" s="5" t="inlineStr">
        <is>
          <t>Commercial</t>
        </is>
      </c>
      <c r="D5" s="5" t="inlineStr">
        <is>
          <t>FEE</t>
        </is>
      </c>
      <c r="E5" s="5" t="inlineStr">
        <is>
          <t>II (p. 2-3)</t>
        </is>
      </c>
      <c r="F5" s="5" t="inlineStr">
        <is>
          <t>Upon execution of the contract, Party A shall pay 60% of the event fee to Party B, i.e. RMB 36,780 before November 28, 2025.</t>
        </is>
      </c>
      <c r="G5" s="5" t="inlineStr">
        <is>
          <t>Only the 60% prepayment amount is stated. The balance of 40% (RMB 24,520 on the excluding-tax base) has no stated amount or trigger beyond "Payment of the remaining service fee".</t>
        </is>
      </c>
      <c r="H5" s="5" t="inlineStr">
        <is>
          <t>State the balance amount and trigger.</t>
        </is>
      </c>
    </row>
    <row r="6">
      <c r="A6" s="5" t="n">
        <v>5</v>
      </c>
      <c r="B6" s="5" t="inlineStr">
        <is>
          <t>High</t>
        </is>
      </c>
      <c r="C6" s="5" t="inlineStr">
        <is>
          <t>Commercial</t>
        </is>
      </c>
      <c r="D6" s="5" t="inlineStr">
        <is>
          <t>FEE</t>
        </is>
      </c>
      <c r="E6" s="5" t="inlineStr">
        <is>
          <t>V.3, VI (p. 3)</t>
        </is>
      </c>
      <c r="F6" s="5" t="inlineStr">
        <is>
          <t>Breaching party shall pay 20% of the total contract amount as penalty and compensate all associated losses.</t>
        </is>
      </c>
      <c r="G6" s="5" t="inlineStr">
        <is>
          <t>V.3 sets a 10% penalty on Party B termination; VI sets 20% for any breach plus all losses. The regimes overlap and may stack.</t>
        </is>
      </c>
      <c r="H6" s="5" t="inlineStr">
        <is>
          <t>Merge into one regime with an aggregate ceiling.</t>
        </is>
      </c>
    </row>
    <row r="7">
      <c r="A7" s="5" t="n">
        <v>6</v>
      </c>
      <c r="B7" s="5" t="inlineStr">
        <is>
          <t>Medium</t>
        </is>
      </c>
      <c r="C7" s="5" t="inlineStr">
        <is>
          <t>Execution</t>
        </is>
      </c>
      <c r="D7" s="5" t="inlineStr">
        <is>
          <t>Check 5</t>
        </is>
      </c>
      <c r="E7" s="5" t="inlineStr">
        <is>
          <t>File (p. 1-4)</t>
        </is>
      </c>
      <c r="F7" s="5" t="inlineStr">
        <is>
          <t>BMW_China_EN_Translated_version_1</t>
        </is>
      </c>
      <c r="G7" s="5" t="inlineStr">
        <is>
          <t>The text is an English translation. Which version prevails is not stated and the original was not supplied.</t>
        </is>
      </c>
      <c r="H7" s="5" t="inlineStr">
        <is>
          <t>Obtain the original and a precedence clause.</t>
        </is>
      </c>
    </row>
    <row r="8">
      <c r="A8" s="5" t="n">
        <v>7</v>
      </c>
      <c r="B8" s="5" t="inlineStr">
        <is>
          <t>Medium</t>
        </is>
      </c>
      <c r="C8" s="5" t="inlineStr">
        <is>
          <t>Commercial</t>
        </is>
      </c>
      <c r="D8" s="5" t="inlineStr">
        <is>
          <t>FEE</t>
        </is>
      </c>
      <c r="E8" s="5" t="inlineStr">
        <is>
          <t>II (p. 3)</t>
        </is>
      </c>
      <c r="F8" s="5" t="inlineStr">
        <is>
          <t>Total service fee including tax: RMB 61,920</t>
        </is>
      </c>
      <c r="G8" s="5" t="inlineStr">
        <is>
          <t>Implied tax is RMB 620, about 1.01% of RMB 61,300. 60% of 61,300 = 36,780 (correct). Verify tax rate and invoice type.</t>
        </is>
      </c>
      <c r="H8" s="5" t="inlineStr">
        <is>
          <t>Confirm tax treatment with finance.</t>
        </is>
      </c>
    </row>
    <row r="9">
      <c r="A9" s="5" t="n">
        <v>8</v>
      </c>
      <c r="B9" s="5" t="inlineStr">
        <is>
          <t>Medium</t>
        </is>
      </c>
      <c r="C9" s="5" t="inlineStr">
        <is>
          <t>Commercial</t>
        </is>
      </c>
      <c r="D9" s="5" t="inlineStr">
        <is>
          <t>FEE</t>
        </is>
      </c>
      <c r="E9" s="5" t="inlineStr">
        <is>
          <t>III(I)5 (p. 3)</t>
        </is>
      </c>
      <c r="F9" s="5" t="inlineStr">
        <is>
          <t>Party A may cancel event content but not the event time; Party A must bear reasonable incurred expenses.</t>
        </is>
      </c>
      <c r="G9" s="5" t="inlineStr">
        <is>
          <t>"Reasonable incurred expenses" is undefined and the sentence is internally odd (cancel content, not time).</t>
        </is>
      </c>
      <c r="H9" s="5" t="inlineStr">
        <is>
          <t>Define the recoverable cost.</t>
        </is>
      </c>
    </row>
    <row r="10">
      <c r="A10" s="5" t="n">
        <v>9</v>
      </c>
      <c r="B10" s="5" t="inlineStr">
        <is>
          <t>Low</t>
        </is>
      </c>
      <c r="C10" s="5" t="inlineStr">
        <is>
          <t>Execution</t>
        </is>
      </c>
      <c r="D10" s="5" t="inlineStr">
        <is>
          <t>Check 6</t>
        </is>
      </c>
      <c r="E10" s="5" t="inlineStr">
        <is>
          <t>Signature block (p. 4)</t>
        </is>
      </c>
      <c r="F10" s="5" t="inlineStr">
        <is>
          <t>Party A: (Seal) Authorized Representative: Date:</t>
        </is>
      </c>
      <c r="G10" s="5" t="inlineStr">
        <is>
          <t>Execution is by seal and authorised representative with blank dates; no position or email.</t>
        </is>
      </c>
      <c r="H10" s="5" t="inlineStr">
        <is>
          <t>Adapt the standard for seal-based execution.</t>
        </is>
      </c>
    </row>
  </sheetData>
  <autoFilter ref="A1:H10"/>
  <conditionalFormatting sqref="B2:B3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2">
    <dataValidation sqref="B2:B300" showDropDown="0" showInputMessage="0" showErrorMessage="0" allowBlank="1" type="list">
      <formula1>"Critical,High,Medium,Low"</formula1>
    </dataValidation>
    <dataValidation sqref="C2:C300" showDropDown="0" showInputMessage="0" showErrorMessage="0" allowBlank="1" type="list">
      <formula1>"Missing,Partial,Deviant,Client: Reject,Client: Escalate,Client: Conditional,Client: Accept,Unclassified clause,Commercial,Execution,Other"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4" customWidth="1" min="4" max="4"/>
    <col width="26" customWidth="1" min="5" max="5"/>
    <col width="12" customWidth="1" min="6" max="6"/>
    <col width="70" customWidth="1" min="7" max="7"/>
  </cols>
  <sheetData>
    <row r="1">
      <c r="A1" s="1" t="inlineStr">
        <is>
          <t>ID</t>
        </is>
      </c>
      <c r="B1" s="1" t="inlineStr">
        <is>
          <t>Clause</t>
        </is>
      </c>
      <c r="C1" s="1" t="inlineStr">
        <is>
          <t>Base severity</t>
        </is>
      </c>
      <c r="D1" s="1" t="inlineStr">
        <is>
          <t>Verdict</t>
        </is>
      </c>
      <c r="E1" s="1" t="inlineStr">
        <is>
          <t>Where</t>
        </is>
      </c>
      <c r="F1" s="1" t="inlineStr">
        <is>
          <t>Severity</t>
        </is>
      </c>
      <c r="G1" s="1" t="inlineStr">
        <is>
          <t>Note</t>
        </is>
      </c>
    </row>
    <row r="2">
      <c r="A2" s="4" t="inlineStr">
        <is>
          <t>PARTIES</t>
        </is>
      </c>
      <c r="B2" s="5" t="inlineStr">
        <is>
          <t>Contracting entity &amp; jurisdiction</t>
        </is>
      </c>
      <c r="C2" s="5" t="inlineStr">
        <is>
          <t>Critical</t>
        </is>
      </c>
      <c r="D2" s="5" t="inlineStr">
        <is>
          <t>N/A</t>
        </is>
      </c>
      <c r="E2" s="5" t="inlineStr"/>
      <c r="F2" s="5">
        <f>IF(D2="","",IF(OR(D2="Conforming",D2="N/A",C2="n/a"),"-",IF(D2="Partial",INDEX({"Low","Low","Medium","High"},MATCH(C2,{"Low","Medium","High","Critical"},0)),C2)))</f>
        <v/>
      </c>
      <c r="G2" s="5" t="inlineStr">
        <is>
          <t>Not assessed: Start2 assumed to be the buyer (Party A); the standards cover provider-side contracts only.</t>
        </is>
      </c>
    </row>
    <row r="3">
      <c r="A3" s="4" t="inlineStr">
        <is>
          <t>RECITALS</t>
        </is>
      </c>
      <c r="B3" s="5" t="inlineStr">
        <is>
          <t>Recitals</t>
        </is>
      </c>
      <c r="C3" s="5" t="inlineStr">
        <is>
          <t>Low</t>
        </is>
      </c>
      <c r="D3" s="5" t="inlineStr">
        <is>
          <t>N/A</t>
        </is>
      </c>
      <c r="E3" s="5" t="inlineStr"/>
      <c r="F3" s="5">
        <f>IF(D3="","",IF(OR(D3="Conforming",D3="N/A",C3="n/a"),"-",IF(D3="Partial",INDEX({"Low","Low","Medium","High"},MATCH(C3,{"Low","Medium","High","Critical"},0)),C3)))</f>
        <v/>
      </c>
      <c r="G3" s="5" t="inlineStr">
        <is>
          <t>Not assessed: Start2 assumed to be the buyer (Party A); the standards cover provider-side contracts only.</t>
        </is>
      </c>
    </row>
    <row r="4">
      <c r="A4" s="4" t="inlineStr">
        <is>
          <t>SCOPE</t>
        </is>
      </c>
      <c r="B4" s="5" t="inlineStr">
        <is>
          <t>Defined scope of service (Appendix)</t>
        </is>
      </c>
      <c r="C4" s="5" t="inlineStr">
        <is>
          <t>High</t>
        </is>
      </c>
      <c r="D4" s="5" t="inlineStr">
        <is>
          <t>N/A</t>
        </is>
      </c>
      <c r="E4" s="5" t="inlineStr"/>
      <c r="F4" s="5">
        <f>IF(D4="","",IF(OR(D4="Conforming",D4="N/A",C4="n/a"),"-",IF(D4="Partial",INDEX({"Low","Low","Medium","High"},MATCH(C4,{"Low","Medium","High","Critical"},0)),C4)))</f>
        <v/>
      </c>
      <c r="G4" s="5" t="inlineStr">
        <is>
          <t>Not assessed: Start2 assumed to be the buyer (Party A); the standards cover provider-side contracts only.</t>
        </is>
      </c>
    </row>
    <row r="5">
      <c r="A5" s="4" t="inlineStr">
        <is>
          <t>TERM</t>
        </is>
      </c>
      <c r="B5" s="5" t="inlineStr">
        <is>
          <t>Term</t>
        </is>
      </c>
      <c r="C5" s="5" t="inlineStr">
        <is>
          <t>High</t>
        </is>
      </c>
      <c r="D5" s="5" t="inlineStr">
        <is>
          <t>N/A</t>
        </is>
      </c>
      <c r="E5" s="5" t="inlineStr"/>
      <c r="F5" s="5">
        <f>IF(D5="","",IF(OR(D5="Conforming",D5="N/A",C5="n/a"),"-",IF(D5="Partial",INDEX({"Low","Low","Medium","High"},MATCH(C5,{"Low","Medium","High","Critical"},0)),C5)))</f>
        <v/>
      </c>
      <c r="G5" s="5" t="inlineStr">
        <is>
          <t>Not assessed: Start2 assumed to be the buyer (Party A); the standards cover provider-side contracts only.</t>
        </is>
      </c>
    </row>
    <row r="6">
      <c r="A6" s="4" t="inlineStr">
        <is>
          <t>FEE</t>
        </is>
      </c>
      <c r="B6" s="5" t="inlineStr">
        <is>
          <t>Fee, currency, payment trigger</t>
        </is>
      </c>
      <c r="C6" s="5" t="inlineStr">
        <is>
          <t>Critical</t>
        </is>
      </c>
      <c r="D6" s="5" t="inlineStr">
        <is>
          <t>N/A</t>
        </is>
      </c>
      <c r="E6" s="5" t="inlineStr"/>
      <c r="F6" s="5">
        <f>IF(D6="","",IF(OR(D6="Conforming",D6="N/A",C6="n/a"),"-",IF(D6="Partial",INDEX({"Low","Low","Medium","High"},MATCH(C6,{"Low","Medium","High","Critical"},0)),C6)))</f>
        <v/>
      </c>
      <c r="G6" s="5" t="inlineStr">
        <is>
          <t>Not assessed: Start2 assumed to be the buyer (Party A); the standards cover provider-side contracts only.</t>
        </is>
      </c>
    </row>
    <row r="7">
      <c r="A7" s="4" t="inlineStr">
        <is>
          <t>SETOFF</t>
        </is>
      </c>
      <c r="B7" s="5" t="inlineStr">
        <is>
          <t>No set-off</t>
        </is>
      </c>
      <c r="C7" s="5" t="inlineStr">
        <is>
          <t>High</t>
        </is>
      </c>
      <c r="D7" s="5" t="inlineStr">
        <is>
          <t>N/A</t>
        </is>
      </c>
      <c r="E7" s="5" t="inlineStr"/>
      <c r="F7" s="5">
        <f>IF(D7="","",IF(OR(D7="Conforming",D7="N/A",C7="n/a"),"-",IF(D7="Partial",INDEX({"Low","Low","Medium","High"},MATCH(C7,{"Low","Medium","High","Critical"},0)),C7)))</f>
        <v/>
      </c>
      <c r="G7" s="5" t="inlineStr">
        <is>
          <t>Not assessed: Start2 assumed to be the buyer (Party A); the standards cover provider-side contracts only.</t>
        </is>
      </c>
    </row>
    <row r="8">
      <c r="A8" s="4" t="inlineStr">
        <is>
          <t>LATEPAY</t>
        </is>
      </c>
      <c r="B8" s="5" t="inlineStr">
        <is>
          <t>Late payment: interest and right to suspend</t>
        </is>
      </c>
      <c r="C8" s="5" t="inlineStr">
        <is>
          <t>Medium</t>
        </is>
      </c>
      <c r="D8" s="5" t="inlineStr">
        <is>
          <t>N/A</t>
        </is>
      </c>
      <c r="E8" s="5" t="inlineStr"/>
      <c r="F8" s="5">
        <f>IF(D8="","",IF(OR(D8="Conforming",D8="N/A",C8="n/a"),"-",IF(D8="Partial",INDEX({"Low","Low","Medium","High"},MATCH(C8,{"Low","Medium","High","Critical"},0)),C8)))</f>
        <v/>
      </c>
      <c r="G8" s="5" t="inlineStr">
        <is>
          <t>Not assessed: Start2 assumed to be the buyer (Party A); the standards cover provider-side contracts only.</t>
        </is>
      </c>
    </row>
    <row r="9">
      <c r="A9" s="4" t="inlineStr">
        <is>
          <t>CONF</t>
        </is>
      </c>
      <c r="B9" s="5" t="inlineStr">
        <is>
          <t>Confidentiality</t>
        </is>
      </c>
      <c r="C9" s="5" t="inlineStr">
        <is>
          <t>High</t>
        </is>
      </c>
      <c r="D9" s="5" t="inlineStr">
        <is>
          <t>N/A</t>
        </is>
      </c>
      <c r="E9" s="5" t="inlineStr"/>
      <c r="F9" s="5">
        <f>IF(D9="","",IF(OR(D9="Conforming",D9="N/A",C9="n/a"),"-",IF(D9="Partial",INDEX({"Low","Low","Medium","High"},MATCH(C9,{"Low","Medium","High","Critical"},0)),C9)))</f>
        <v/>
      </c>
      <c r="G9" s="5" t="inlineStr">
        <is>
          <t>Not assessed: Start2 assumed to be the buyer (Party A); the standards cover provider-side contracts only.</t>
        </is>
      </c>
    </row>
    <row r="10">
      <c r="A10" s="4" t="inlineStr">
        <is>
          <t>ASSIGN</t>
        </is>
      </c>
      <c r="B10" s="5" t="inlineStr">
        <is>
          <t>Assignment restriction</t>
        </is>
      </c>
      <c r="C10" s="5" t="inlineStr">
        <is>
          <t>High</t>
        </is>
      </c>
      <c r="D10" s="5" t="inlineStr">
        <is>
          <t>N/A</t>
        </is>
      </c>
      <c r="E10" s="5" t="inlineStr"/>
      <c r="F10" s="5">
        <f>IF(D10="","",IF(OR(D10="Conforming",D10="N/A",C10="n/a"),"-",IF(D10="Partial",INDEX({"Low","Low","Medium","High"},MATCH(C10,{"Low","Medium","High","Critical"},0)),C10)))</f>
        <v/>
      </c>
      <c r="G10" s="5" t="inlineStr">
        <is>
          <t>Not assessed: Start2 assumed to be the buyer (Party A); the standards cover provider-side contracts only.</t>
        </is>
      </c>
    </row>
    <row r="11">
      <c r="A11" s="4" t="inlineStr">
        <is>
          <t>INDCON</t>
        </is>
      </c>
      <c r="B11" s="5" t="inlineStr">
        <is>
          <t>Independent contractor / no agency or partnership</t>
        </is>
      </c>
      <c r="C11" s="5" t="inlineStr">
        <is>
          <t>Medium</t>
        </is>
      </c>
      <c r="D11" s="5" t="inlineStr">
        <is>
          <t>N/A</t>
        </is>
      </c>
      <c r="E11" s="5" t="inlineStr"/>
      <c r="F11" s="5">
        <f>IF(D11="","",IF(OR(D11="Conforming",D11="N/A",C11="n/a"),"-",IF(D11="Partial",INDEX({"Low","Low","Medium","High"},MATCH(C11,{"Low","Medium","High","Critical"},0)),C11)))</f>
        <v/>
      </c>
      <c r="G11" s="5" t="inlineStr">
        <is>
          <t>Not assessed: Start2 assumed to be the buyer (Party A); the standards cover provider-side contracts only.</t>
        </is>
      </c>
    </row>
    <row r="12">
      <c r="A12" s="4" t="inlineStr">
        <is>
          <t>NOTICES</t>
        </is>
      </c>
      <c r="B12" s="5" t="inlineStr">
        <is>
          <t>Notices</t>
        </is>
      </c>
      <c r="C12" s="5" t="inlineStr">
        <is>
          <t>Low</t>
        </is>
      </c>
      <c r="D12" s="5" t="inlineStr">
        <is>
          <t>N/A</t>
        </is>
      </c>
      <c r="E12" s="5" t="inlineStr"/>
      <c r="F12" s="5">
        <f>IF(D12="","",IF(OR(D12="Conforming",D12="N/A",C12="n/a"),"-",IF(D12="Partial",INDEX({"Low","Low","Medium","High"},MATCH(C12,{"Low","Medium","High","Critical"},0)),C12)))</f>
        <v/>
      </c>
      <c r="G12" s="5" t="inlineStr">
        <is>
          <t>Not assessed: Start2 assumed to be the buyer (Party A); the standards cover provider-side contracts only.</t>
        </is>
      </c>
    </row>
    <row r="13">
      <c r="A13" s="4" t="inlineStr">
        <is>
          <t>AMEND</t>
        </is>
      </c>
      <c r="B13" s="5" t="inlineStr">
        <is>
          <t>Amendment</t>
        </is>
      </c>
      <c r="C13" s="5" t="inlineStr">
        <is>
          <t>Medium</t>
        </is>
      </c>
      <c r="D13" s="5" t="inlineStr">
        <is>
          <t>N/A</t>
        </is>
      </c>
      <c r="E13" s="5" t="inlineStr"/>
      <c r="F13" s="5">
        <f>IF(D13="","",IF(OR(D13="Conforming",D13="N/A",C13="n/a"),"-",IF(D13="Partial",INDEX({"Low","Low","Medium","High"},MATCH(C13,{"Low","Medium","High","Critical"},0)),C13)))</f>
        <v/>
      </c>
      <c r="G13" s="5" t="inlineStr">
        <is>
          <t>Not assessed: Start2 assumed to be the buyer (Party A); the standards cover provider-side contracts only.</t>
        </is>
      </c>
    </row>
    <row r="14">
      <c r="A14" s="4" t="inlineStr">
        <is>
          <t>TERM-CAUSE</t>
        </is>
      </c>
      <c r="B14" s="5" t="inlineStr">
        <is>
          <t>Termination</t>
        </is>
      </c>
      <c r="C14" s="5" t="inlineStr">
        <is>
          <t>High</t>
        </is>
      </c>
      <c r="D14" s="5" t="inlineStr">
        <is>
          <t>N/A</t>
        </is>
      </c>
      <c r="E14" s="5" t="inlineStr"/>
      <c r="F14" s="5">
        <f>IF(D14="","",IF(OR(D14="Conforming",D14="N/A",C14="n/a"),"-",IF(D14="Partial",INDEX({"Low","Low","Medium","High"},MATCH(C14,{"Low","Medium","High","Critical"},0)),C14)))</f>
        <v/>
      </c>
      <c r="G14" s="5" t="inlineStr">
        <is>
          <t>Not assessed: Start2 assumed to be the buyer (Party A); the standards cover provider-side contracts only.</t>
        </is>
      </c>
    </row>
    <row r="15">
      <c r="A15" s="4" t="inlineStr">
        <is>
          <t>NOCOST</t>
        </is>
      </c>
      <c r="B15" s="5" t="inlineStr">
        <is>
          <t>No cost committed before payment received</t>
        </is>
      </c>
      <c r="C15" s="5" t="inlineStr">
        <is>
          <t>n/a</t>
        </is>
      </c>
      <c r="D15" s="5" t="inlineStr">
        <is>
          <t>N/A</t>
        </is>
      </c>
      <c r="E15" s="5" t="inlineStr"/>
      <c r="F15" s="5">
        <f>IF(D15="","",IF(OR(D15="Conforming",D15="N/A",C15="n/a"),"-",IF(D15="Partial",INDEX({"Low","Low","Medium","High"},MATCH(C15,{"Low","Medium","High","Critical"},0)),C15)))</f>
        <v/>
      </c>
      <c r="G15" s="5" t="inlineStr">
        <is>
          <t>Not assessed: Start2 assumed to be the buyer (Party A); the standards cover provider-side contracts only.</t>
        </is>
      </c>
    </row>
    <row r="16">
      <c r="A16" s="4" t="inlineStr">
        <is>
          <t>COSTREC</t>
        </is>
      </c>
      <c r="B16" s="5" t="inlineStr">
        <is>
          <t>Cost recovery on cancellation</t>
        </is>
      </c>
      <c r="C16" s="5" t="inlineStr">
        <is>
          <t>High</t>
        </is>
      </c>
      <c r="D16" s="5" t="inlineStr">
        <is>
          <t>N/A</t>
        </is>
      </c>
      <c r="E16" s="5" t="inlineStr"/>
      <c r="F16" s="5">
        <f>IF(D16="","",IF(OR(D16="Conforming",D16="N/A",C16="n/a"),"-",IF(D16="Partial",INDEX({"Low","Low","Medium","High"},MATCH(C16,{"Low","Medium","High","Critical"},0)),C16)))</f>
        <v/>
      </c>
      <c r="G16" s="5" t="inlineStr">
        <is>
          <t>Not assessed: Start2 assumed to be the buyer (Party A); the standards cover provider-side contracts only.</t>
        </is>
      </c>
    </row>
    <row r="17">
      <c r="A17" s="4" t="inlineStr">
        <is>
          <t>WARR</t>
        </is>
      </c>
      <c r="B17" s="5" t="inlineStr">
        <is>
          <t>Warranties</t>
        </is>
      </c>
      <c r="C17" s="5" t="inlineStr">
        <is>
          <t>Medium</t>
        </is>
      </c>
      <c r="D17" s="5" t="inlineStr">
        <is>
          <t>N/A</t>
        </is>
      </c>
      <c r="E17" s="5" t="inlineStr"/>
      <c r="F17" s="5">
        <f>IF(D17="","",IF(OR(D17="Conforming",D17="N/A",C17="n/a"),"-",IF(D17="Partial",INDEX({"Low","Low","Medium","High"},MATCH(C17,{"Low","Medium","High","Critical"},0)),C17)))</f>
        <v/>
      </c>
      <c r="G17" s="5" t="inlineStr">
        <is>
          <t>Not assessed: Start2 assumed to be the buyer (Party A); the standards cover provider-side contracts only.</t>
        </is>
      </c>
    </row>
    <row r="18">
      <c r="A18" s="4" t="inlineStr">
        <is>
          <t>INDEM</t>
        </is>
      </c>
      <c r="B18" s="5" t="inlineStr">
        <is>
          <t>Indemnity</t>
        </is>
      </c>
      <c r="C18" s="5" t="inlineStr">
        <is>
          <t>High</t>
        </is>
      </c>
      <c r="D18" s="5" t="inlineStr">
        <is>
          <t>N/A</t>
        </is>
      </c>
      <c r="E18" s="5" t="inlineStr"/>
      <c r="F18" s="5">
        <f>IF(D18="","",IF(OR(D18="Conforming",D18="N/A",C18="n/a"),"-",IF(D18="Partial",INDEX({"Low","Low","Medium","High"},MATCH(C18,{"Low","Medium","High","Critical"},0)),C18)))</f>
        <v/>
      </c>
      <c r="G18" s="5" t="inlineStr">
        <is>
          <t>Not assessed: Start2 assumed to be the buyer (Party A); the standards cover provider-side contracts only.</t>
        </is>
      </c>
    </row>
    <row r="19">
      <c r="A19" s="4" t="inlineStr">
        <is>
          <t>LOL</t>
        </is>
      </c>
      <c r="B19" s="5" t="inlineStr">
        <is>
          <t>Limitation of liability</t>
        </is>
      </c>
      <c r="C19" s="5" t="inlineStr">
        <is>
          <t>Critical</t>
        </is>
      </c>
      <c r="D19" s="5" t="inlineStr">
        <is>
          <t>N/A</t>
        </is>
      </c>
      <c r="E19" s="5" t="inlineStr"/>
      <c r="F19" s="5">
        <f>IF(D19="","",IF(OR(D19="Conforming",D19="N/A",C19="n/a"),"-",IF(D19="Partial",INDEX({"Low","Low","Medium","High"},MATCH(C19,{"Low","Medium","High","Critical"},0)),C19)))</f>
        <v/>
      </c>
      <c r="G19" s="5" t="inlineStr">
        <is>
          <t>Not assessed: Start2 assumed to be the buyer (Party A); the standards cover provider-side contracts only.</t>
        </is>
      </c>
    </row>
    <row r="20">
      <c r="A20" s="4" t="inlineStr">
        <is>
          <t>FM</t>
        </is>
      </c>
      <c r="B20" s="5" t="inlineStr">
        <is>
          <t>Force majeure</t>
        </is>
      </c>
      <c r="C20" s="5" t="inlineStr">
        <is>
          <t>Medium</t>
        </is>
      </c>
      <c r="D20" s="5" t="inlineStr">
        <is>
          <t>N/A</t>
        </is>
      </c>
      <c r="E20" s="5" t="inlineStr"/>
      <c r="F20" s="5">
        <f>IF(D20="","",IF(OR(D20="Conforming",D20="N/A",C20="n/a"),"-",IF(D20="Partial",INDEX({"Low","Low","Medium","High"},MATCH(C20,{"Low","Medium","High","Critical"},0)),C20)))</f>
        <v/>
      </c>
      <c r="G20" s="5" t="inlineStr">
        <is>
          <t>Not assessed: Start2 assumed to be the buyer (Party A); the standards cover provider-side contracts only.</t>
        </is>
      </c>
    </row>
    <row r="21">
      <c r="A21" s="4" t="inlineStr">
        <is>
          <t>SANCT</t>
        </is>
      </c>
      <c r="B21" s="5" t="inlineStr">
        <is>
          <t>Compliance with laws / sanctions</t>
        </is>
      </c>
      <c r="C21" s="5" t="inlineStr">
        <is>
          <t>Medium</t>
        </is>
      </c>
      <c r="D21" s="5" t="inlineStr">
        <is>
          <t>N/A</t>
        </is>
      </c>
      <c r="E21" s="5" t="inlineStr"/>
      <c r="F21" s="5">
        <f>IF(D21="","",IF(OR(D21="Conforming",D21="N/A",C21="n/a"),"-",IF(D21="Partial",INDEX({"Low","Low","Medium","High"},MATCH(C21,{"Low","Medium","High","Critical"},0)),C21)))</f>
        <v/>
      </c>
      <c r="G21" s="5" t="inlineStr">
        <is>
          <t>Not assessed: Start2 assumed to be the buyer (Party A); the standards cover provider-side contracts only.</t>
        </is>
      </c>
    </row>
    <row r="22">
      <c r="A22" s="4" t="inlineStr">
        <is>
          <t>IP</t>
        </is>
      </c>
      <c r="B22" s="5" t="inlineStr">
        <is>
          <t>Intellectual property (standalone clause)</t>
        </is>
      </c>
      <c r="C22" s="5" t="inlineStr">
        <is>
          <t>High</t>
        </is>
      </c>
      <c r="D22" s="5" t="inlineStr">
        <is>
          <t>N/A</t>
        </is>
      </c>
      <c r="E22" s="5" t="inlineStr"/>
      <c r="F22" s="5">
        <f>IF(D22="","",IF(OR(D22="Conforming",D22="N/A",C22="n/a"),"-",IF(D22="Partial",INDEX({"Low","Low","Medium","High"},MATCH(C22,{"Low","Medium","High","Critical"},0)),C22)))</f>
        <v/>
      </c>
      <c r="G22" s="5" t="inlineStr">
        <is>
          <t>Not assessed: Start2 assumed to be the buyer (Party A); the standards cover provider-side contracts only.</t>
        </is>
      </c>
    </row>
    <row r="23">
      <c r="A23" s="4" t="inlineStr">
        <is>
          <t>DP</t>
        </is>
      </c>
      <c r="B23" s="5" t="inlineStr">
        <is>
          <t>Data protection</t>
        </is>
      </c>
      <c r="C23" s="5" t="inlineStr">
        <is>
          <t>High</t>
        </is>
      </c>
      <c r="D23" s="5" t="inlineStr">
        <is>
          <t>N/A</t>
        </is>
      </c>
      <c r="E23" s="5" t="inlineStr"/>
      <c r="F23" s="5">
        <f>IF(D23="","",IF(OR(D23="Conforming",D23="N/A",C23="n/a"),"-",IF(D23="Partial",INDEX({"Low","Low","Medium","High"},MATCH(C23,{"Low","Medium","High","Critical"},0)),C23)))</f>
        <v/>
      </c>
      <c r="G23" s="5" t="inlineStr">
        <is>
          <t>Not assessed: Start2 assumed to be the buyer (Party A); the standards cover provider-side contracts only.</t>
        </is>
      </c>
    </row>
    <row r="24">
      <c r="A24" s="4" t="inlineStr">
        <is>
          <t>LANG</t>
        </is>
      </c>
      <c r="B24" s="5" t="inlineStr">
        <is>
          <t>Governing language of the agreement</t>
        </is>
      </c>
      <c r="C24" s="5" t="inlineStr">
        <is>
          <t>Medium</t>
        </is>
      </c>
      <c r="D24" s="5" t="inlineStr">
        <is>
          <t>N/A</t>
        </is>
      </c>
      <c r="E24" s="5" t="inlineStr"/>
      <c r="F24" s="5">
        <f>IF(D24="","",IF(OR(D24="Conforming",D24="N/A",C24="n/a"),"-",IF(D24="Partial",INDEX({"Low","Low","Medium","High"},MATCH(C24,{"Low","Medium","High","Critical"},0)),C24)))</f>
        <v/>
      </c>
      <c r="G24" s="5" t="inlineStr">
        <is>
          <t>Not assessed: Start2 assumed to be the buyer (Party A); the standards cover provider-side contracts only.</t>
        </is>
      </c>
    </row>
    <row r="25">
      <c r="A25" s="4" t="inlineStr">
        <is>
          <t>DISPUTE</t>
        </is>
      </c>
      <c r="B25" s="5" t="inlineStr">
        <is>
          <t>Governing law &amp; dispute resolution</t>
        </is>
      </c>
      <c r="C25" s="5" t="inlineStr">
        <is>
          <t>High</t>
        </is>
      </c>
      <c r="D25" s="5" t="inlineStr">
        <is>
          <t>N/A</t>
        </is>
      </c>
      <c r="E25" s="5" t="inlineStr"/>
      <c r="F25" s="5">
        <f>IF(D25="","",IF(OR(D25="Conforming",D25="N/A",C25="n/a"),"-",IF(D25="Partial",INDEX({"Low","Low","Medium","High"},MATCH(C25,{"Low","Medium","High","Critical"},0)),C25)))</f>
        <v/>
      </c>
      <c r="G25" s="5" t="inlineStr">
        <is>
          <t>Not assessed: Start2 assumed to be the buyer (Party A); the standards cover provider-side contracts only.</t>
        </is>
      </c>
    </row>
    <row r="26">
      <c r="A26" s="4" t="inlineStr">
        <is>
          <t>ENTIRE</t>
        </is>
      </c>
      <c r="B26" s="5" t="inlineStr">
        <is>
          <t>Entire agreement</t>
        </is>
      </c>
      <c r="C26" s="5" t="inlineStr">
        <is>
          <t>Medium</t>
        </is>
      </c>
      <c r="D26" s="5" t="inlineStr">
        <is>
          <t>N/A</t>
        </is>
      </c>
      <c r="E26" s="5" t="inlineStr"/>
      <c r="F26" s="5">
        <f>IF(D26="","",IF(OR(D26="Conforming",D26="N/A",C26="n/a"),"-",IF(D26="Partial",INDEX({"Low","Low","Medium","High"},MATCH(C26,{"Low","Medium","High","Critical"},0)),C26)))</f>
        <v/>
      </c>
      <c r="G26" s="5" t="inlineStr">
        <is>
          <t>Not assessed: Start2 assumed to be the buyer (Party A); the standards cover provider-side contracts only.</t>
        </is>
      </c>
    </row>
    <row r="27">
      <c r="A27" s="4" t="inlineStr">
        <is>
          <t>SURV</t>
        </is>
      </c>
      <c r="B27" s="5" t="inlineStr">
        <is>
          <t>Survival</t>
        </is>
      </c>
      <c r="C27" s="5" t="inlineStr">
        <is>
          <t>Medium</t>
        </is>
      </c>
      <c r="D27" s="5" t="inlineStr">
        <is>
          <t>N/A</t>
        </is>
      </c>
      <c r="E27" s="5" t="inlineStr"/>
      <c r="F27" s="5">
        <f>IF(D27="","",IF(OR(D27="Conforming",D27="N/A",C27="n/a"),"-",IF(D27="Partial",INDEX({"Low","Low","Medium","High"},MATCH(C27,{"Low","Medium","High","Critical"},0)),C27)))</f>
        <v/>
      </c>
      <c r="G27" s="5" t="inlineStr">
        <is>
          <t>Not assessed: Start2 assumed to be the buyer (Party A); the standards cover provider-side contracts only.</t>
        </is>
      </c>
    </row>
    <row r="28">
      <c r="A28" s="4" t="inlineStr">
        <is>
          <t>ESIGN</t>
        </is>
      </c>
      <c r="B28" s="5" t="inlineStr">
        <is>
          <t>Electronic signature / counterparts</t>
        </is>
      </c>
      <c r="C28" s="5" t="inlineStr">
        <is>
          <t>Low</t>
        </is>
      </c>
      <c r="D28" s="5" t="inlineStr">
        <is>
          <t>N/A</t>
        </is>
      </c>
      <c r="E28" s="5" t="inlineStr"/>
      <c r="F28" s="5">
        <f>IF(D28="","",IF(OR(D28="Conforming",D28="N/A",C28="n/a"),"-",IF(D28="Partial",INDEX({"Low","Low","Medium","High"},MATCH(C28,{"Low","Medium","High","Critical"},0)),C28)))</f>
        <v/>
      </c>
      <c r="G28" s="5" t="inlineStr">
        <is>
          <t>Not assessed: Start2 assumed to be the buyer (Party A); the standards cover provider-side contracts only.</t>
        </is>
      </c>
    </row>
    <row r="29">
      <c r="A29" s="4" t="inlineStr">
        <is>
          <t>SIGN</t>
        </is>
      </c>
      <c r="B29" s="5" t="inlineStr">
        <is>
          <t>Signature block</t>
        </is>
      </c>
      <c r="C29" s="5" t="inlineStr">
        <is>
          <t>Medium</t>
        </is>
      </c>
      <c r="D29" s="5" t="inlineStr">
        <is>
          <t>N/A</t>
        </is>
      </c>
      <c r="E29" s="5" t="inlineStr"/>
      <c r="F29" s="5">
        <f>IF(D29="","",IF(OR(D29="Conforming",D29="N/A",C29="n/a"),"-",IF(D29="Partial",INDEX({"Low","Low","Medium","High"},MATCH(C29,{"Low","Medium","High","Critical"},0)),C29)))</f>
        <v/>
      </c>
      <c r="G29" s="5" t="inlineStr">
        <is>
          <t>Not assessed: Start2 assumed to be the buyer (Party A); the standards cover provider-side contracts only.</t>
        </is>
      </c>
    </row>
    <row r="30">
      <c r="A30" s="4" t="inlineStr">
        <is>
          <t>TERM-CONV</t>
        </is>
      </c>
      <c r="B30" s="5" t="inlineStr">
        <is>
          <t>Termination for convenience</t>
        </is>
      </c>
      <c r="C30" s="5" t="inlineStr">
        <is>
          <t>Low</t>
        </is>
      </c>
      <c r="D30" s="5" t="inlineStr">
        <is>
          <t>N/A</t>
        </is>
      </c>
      <c r="E30" s="5" t="inlineStr"/>
      <c r="F30" s="5">
        <f>IF(D30="","",IF(OR(D30="Conforming",D30="N/A",C30="n/a"),"-",IF(D30="Partial",INDEX({"Low","Low","Medium","High"},MATCH(C30,{"Low","Medium","High","Critical"},0)),C30)))</f>
        <v/>
      </c>
      <c r="G30" s="5" t="inlineStr">
        <is>
          <t>Not assessed: Start2 assumed to be the buyer (Party A); the standards cover provider-side contracts only.</t>
        </is>
      </c>
    </row>
    <row r="31">
      <c r="A31" s="4" t="inlineStr">
        <is>
          <t>NONSOL</t>
        </is>
      </c>
      <c r="B31" s="5" t="inlineStr">
        <is>
          <t>Non-solicitation of Start2 network</t>
        </is>
      </c>
      <c r="C31" s="5" t="inlineStr">
        <is>
          <t>Low</t>
        </is>
      </c>
      <c r="D31" s="5" t="inlineStr">
        <is>
          <t>N/A</t>
        </is>
      </c>
      <c r="E31" s="5" t="inlineStr"/>
      <c r="F31" s="5">
        <f>IF(D31="","",IF(OR(D31="Conforming",D31="N/A",C31="n/a"),"-",IF(D31="Partial",INDEX({"Low","Low","Medium","High"},MATCH(C31,{"Low","Medium","High","Critical"},0)),C31)))</f>
        <v/>
      </c>
      <c r="G31" s="5" t="inlineStr">
        <is>
          <t>Not assessed: Start2 assumed to be the buyer (Party A); the standards cover provider-side contracts only.</t>
        </is>
      </c>
    </row>
    <row r="32">
      <c r="A32" s="4" t="inlineStr">
        <is>
          <t>ABC</t>
        </is>
      </c>
      <c r="B32" s="5" t="inlineStr">
        <is>
          <t>Anti-bribery and corruption representation</t>
        </is>
      </c>
      <c r="C32" s="5" t="inlineStr">
        <is>
          <t>Low</t>
        </is>
      </c>
      <c r="D32" s="5" t="inlineStr">
        <is>
          <t>N/A</t>
        </is>
      </c>
      <c r="E32" s="5" t="inlineStr"/>
      <c r="F32" s="5">
        <f>IF(D32="","",IF(OR(D32="Conforming",D32="N/A",C32="n/a"),"-",IF(D32="Partial",INDEX({"Low","Low","Medium","High"},MATCH(C32,{"Low","Medium","High","Critical"},0)),C32)))</f>
        <v/>
      </c>
      <c r="G32" s="5" t="inlineStr">
        <is>
          <t>Not assessed: Start2 assumed to be the buyer (Party A); the standards cover provider-side contracts only.</t>
        </is>
      </c>
    </row>
    <row r="33">
      <c r="A33" s="4" t="inlineStr">
        <is>
          <t>PUBLICITY</t>
        </is>
      </c>
      <c r="B33" s="5" t="inlineStr">
        <is>
          <t>Publicity / case study rights</t>
        </is>
      </c>
      <c r="C33" s="5" t="inlineStr">
        <is>
          <t>Low</t>
        </is>
      </c>
      <c r="D33" s="5" t="inlineStr">
        <is>
          <t>N/A</t>
        </is>
      </c>
      <c r="E33" s="5" t="inlineStr"/>
      <c r="F33" s="5">
        <f>IF(D33="","",IF(OR(D33="Conforming",D33="N/A",C33="n/a"),"-",IF(D33="Partial",INDEX({"Low","Low","Medium","High"},MATCH(C33,{"Low","Medium","High","Critical"},0)),C33)))</f>
        <v/>
      </c>
      <c r="G33" s="5" t="inlineStr">
        <is>
          <t>Not assessed: Start2 assumed to be the buyer (Party A); the standards cover provider-side contracts only.</t>
        </is>
      </c>
    </row>
    <row r="34">
      <c r="A34" s="4" t="inlineStr">
        <is>
          <t>ESCALATION</t>
        </is>
      </c>
      <c r="B34" s="5" t="inlineStr">
        <is>
          <t>Defined escalation contact</t>
        </is>
      </c>
      <c r="C34" s="5" t="inlineStr">
        <is>
          <t>Low</t>
        </is>
      </c>
      <c r="D34" s="5" t="inlineStr">
        <is>
          <t>N/A</t>
        </is>
      </c>
      <c r="E34" s="5" t="inlineStr"/>
      <c r="F34" s="5">
        <f>IF(D34="","",IF(OR(D34="Conforming",D34="N/A",C34="n/a"),"-",IF(D34="Partial",INDEX({"Low","Low","Medium","High"},MATCH(C34,{"Low","Medium","High","Critical"},0)),C34)))</f>
        <v/>
      </c>
      <c r="G34" s="5" t="inlineStr">
        <is>
          <t>Not assessed: Start2 assumed to be the buyer (Party A); the standards cover provider-side contracts only.</t>
        </is>
      </c>
    </row>
    <row r="35">
      <c r="A35" s="4" t="inlineStr">
        <is>
          <t>SEVERABILITY</t>
        </is>
      </c>
      <c r="B35" s="5" t="inlineStr">
        <is>
          <t>Severability clause</t>
        </is>
      </c>
      <c r="C35" s="5" t="inlineStr">
        <is>
          <t>Low</t>
        </is>
      </c>
      <c r="D35" s="5" t="inlineStr">
        <is>
          <t>N/A</t>
        </is>
      </c>
      <c r="E35" s="5" t="inlineStr"/>
      <c r="F35" s="5">
        <f>IF(D35="","",IF(OR(D35="Conforming",D35="N/A",C35="n/a"),"-",IF(D35="Partial",INDEX({"Low","Low","Medium","High"},MATCH(C35,{"Low","Medium","High","Critical"},0)),C35)))</f>
        <v/>
      </c>
      <c r="G35" s="5" t="inlineStr">
        <is>
          <t>Not assessed: Start2 assumed to be the buyer (Party A); the standards cover provider-side contracts only.</t>
        </is>
      </c>
    </row>
  </sheetData>
  <autoFilter ref="A1:G35"/>
  <conditionalFormatting sqref="C2:C35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F2:F35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dataValidations count="2">
    <dataValidation sqref="C2:C35" showDropDown="0" showInputMessage="0" showErrorMessage="0" allowBlank="1" type="list">
      <formula1>"Critical,High,Medium,Low,n/a"</formula1>
    </dataValidation>
    <dataValidation sqref="D2:D35" showDropDown="0" showInputMessage="0" showErrorMessage="0" allowBlank="1" type="list">
      <formula1>"Conforming,Partial,Deviant,Missing,N/A"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4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Evidence</t>
        </is>
      </c>
    </row>
    <row r="2">
      <c r="A2" s="5" t="n">
        <v>1</v>
      </c>
      <c r="B2" s="5" t="inlineStr">
        <is>
          <t>Every bracketed placeholder ([XXX], COMPANY DESCRIPTION, [Insert commencement event]) is filled. A signed agreement with a placeholder still in it is a live incident, not a defect, escalate immediately.</t>
        </is>
      </c>
      <c r="C2" s="5" t="inlineStr">
        <is>
          <t>Fail</t>
        </is>
      </c>
      <c r="D2" s="5" t="inlineStr">
        <is>
          <t>Party A representative and contact blank; signature and date lines blank (p. 1, 4).</t>
        </is>
      </c>
    </row>
    <row r="3">
      <c r="A3" s="5" t="n">
        <v>2</v>
      </c>
      <c r="B3" s="5" t="inlineStr">
        <is>
          <t>Clause numbering is sequential and matches any cross-references elsewhere in the document. Checked automatically by the assemble step for clauses built from the Clauses sheet.</t>
        </is>
      </c>
      <c r="C3" s="5" t="inlineStr">
        <is>
          <t>Pass</t>
        </is>
      </c>
      <c r="D3" s="5" t="inlineStr">
        <is>
          <t>Roman I to IX consistent; sub-numbering restarts within sections.</t>
        </is>
      </c>
    </row>
    <row r="4">
      <c r="A4" s="5" t="n">
        <v>3</v>
      </c>
      <c r="B4" s="5" t="inlineStr">
        <is>
          <t>Term dates in the recitals, the term clause, and Annex/Appendix all agree with each other.</t>
        </is>
      </c>
      <c r="C4" s="5" t="inlineStr">
        <is>
          <t>Fail</t>
        </is>
      </c>
      <c r="D4" s="5" t="inlineStr">
        <is>
          <t>Service period 2025 against 2024 (p. 1).</t>
        </is>
      </c>
    </row>
    <row r="5">
      <c r="A5" s="5" t="n">
        <v>4</v>
      </c>
      <c r="B5" s="5" t="inlineStr">
        <is>
          <t>Contracting entity name is identical everywhere it appears: cover page, signature block, bank details, and any Chinese or Korean-language mirror text.</t>
        </is>
      </c>
      <c r="C5" s="5" t="inlineStr">
        <is>
          <t>Pass</t>
        </is>
      </c>
      <c r="D5" s="5" t="inlineStr">
        <is>
          <t>Party A name matches on cover and invoice block.</t>
        </is>
      </c>
    </row>
    <row r="6">
      <c r="A6" s="5" t="n">
        <v>5</v>
      </c>
      <c r="B6" s="5" t="inlineStr">
        <is>
          <t>Bilingual agreements: the two language versions say the same thing on fee, term dates, and liability cap at minimum. Have a fluent reviewer confirm, do not assume.</t>
        </is>
      </c>
      <c r="C6" s="5" t="inlineStr">
        <is>
          <t>Cannot verify</t>
        </is>
      </c>
      <c r="D6" s="5" t="inlineStr">
        <is>
          <t>English translation; original not supplied.</t>
        </is>
      </c>
    </row>
    <row r="7">
      <c r="A7" s="5" t="n">
        <v>6</v>
      </c>
      <c r="B7" s="5" t="inlineStr">
        <is>
          <t>Signature block has the right number of lines for the actual signing parties, no blank line left for a party who will not sign.</t>
        </is>
      </c>
      <c r="C7" s="5" t="inlineStr">
        <is>
          <t>N/A</t>
        </is>
      </c>
      <c r="D7" s="5" t="inlineStr">
        <is>
          <t>Draft; seal lines blank.</t>
        </is>
      </c>
    </row>
    <row r="8">
      <c r="A8" s="5" t="n">
        <v>7</v>
      </c>
      <c r="B8" s="5" t="inlineStr">
        <is>
          <t>Bank details in the payment clause match the named contracting entity, not a different Start2 entity.</t>
        </is>
      </c>
      <c r="C8" s="5" t="inlineStr">
        <is>
          <t>Pass</t>
        </is>
      </c>
      <c r="D8" s="5" t="inlineStr">
        <is>
          <t>Party B account name matches Party B (p. 3).</t>
        </is>
      </c>
    </row>
    <row r="9">
      <c r="A9" s="5" t="n">
        <v>8</v>
      </c>
      <c r="B9" s="5" t="inlineStr">
        <is>
          <t>No leftover tracked-change or redline artifacts in the body text.</t>
        </is>
      </c>
      <c r="C9" s="5" t="inlineStr">
        <is>
          <t>Pass</t>
        </is>
      </c>
      <c r="D9" s="5" t="inlineStr">
        <is>
          <t>None in the PDF text.</t>
        </is>
      </c>
    </row>
    <row r="10">
      <c r="A10" s="5" t="n">
        <v>9</v>
      </c>
      <c r="B10" s="5" t="inlineStr">
        <is>
          <t>Appendix or Schedule numbers referenced in the body match what is actually attached, no reference to a Schedule that doesn't exist.</t>
        </is>
      </c>
      <c r="C10" s="5" t="inlineStr">
        <is>
          <t>Fail</t>
        </is>
      </c>
      <c r="D10" s="5" t="inlineStr">
        <is>
          <t>Attachment 1 has a title only (p. 4).</t>
        </is>
      </c>
    </row>
    <row r="11">
      <c r="A11" s="5" t="n">
        <v>10</v>
      </c>
      <c r="B11" s="5" t="inlineStr">
        <is>
          <t>Appendix content is specific to this deal, not another client's scope carried over from a previous draft.</t>
        </is>
      </c>
      <c r="C11" s="5" t="inlineStr">
        <is>
          <t>Cannot verify</t>
        </is>
      </c>
      <c r="D11" s="5" t="inlineStr">
        <is>
          <t>Attachment 1 absent.</t>
        </is>
      </c>
    </row>
    <row r="12">
      <c r="A12" s="5" t="n">
        <v>11</v>
      </c>
      <c r="B12" s="5" t="inlineStr">
        <is>
          <t>Cross-references in the contract point to clauses and annexes that exist and are correctly numbered.</t>
        </is>
      </c>
      <c r="C12" s="5" t="inlineStr">
        <is>
          <t>Pass</t>
        </is>
      </c>
      <c r="D12" s="5" t="inlineStr">
        <is>
          <t>No cross-reference errors found.</t>
        </is>
      </c>
    </row>
    <row r="13">
      <c r="A13" s="5" t="n">
        <v>12</v>
      </c>
      <c r="B13" s="5" t="inlineStr">
        <is>
          <t>Currency, fee figures, governing law, and arbitration body match the actual contracting entity for this deal, not copy-paste residue from a different country's last draft.</t>
        </is>
      </c>
      <c r="C13" s="5" t="inlineStr">
        <is>
          <t>N/A</t>
        </is>
      </c>
      <c r="D13" s="5" t="inlineStr">
        <is>
          <t>RMB, PRC law, People's Court; no arbitration expectation for a buyer-side vendor contract.</t>
        </is>
      </c>
    </row>
  </sheetData>
  <dataValidations count="1">
    <dataValidation sqref="C2:C13" showDropDown="0" showInputMessage="0" showErrorMessage="0" allowBlank="1" type="list">
      <formula1>"Pass,Fail,N/A,Cannot verify"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2026-10-15T01:21:06Z</dcterms:created>
  <dcterms:modified xsi:type="dcterms:W3CDTF">2026-10-15T01:21:06Z</dcterms:modified>
</cp:coreProperties>
</file>