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Findings" sheetId="3" state="visible" r:id="rId3"/>
    <sheet name="Coverage" sheetId="4" state="visible" r:id="rId4"/>
    <sheet name="Checks" sheetId="5" state="visible" r:id="rId5"/>
  </sheets>
  <definedNames>
    <definedName name="_xlnm._FilterDatabase" localSheetId="2" hidden="1">'Findings'!$A$1:$H$46</definedName>
    <definedName name="_xlnm._FilterDatabase" localSheetId="3" hidden="1">'Coverage'!$A$1:$G$35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0"/>
    </font>
    <font>
      <name val="Arial"/>
      <b val="1"/>
      <sz val="10"/>
    </font>
    <font>
      <name val="Arial"/>
      <sz val="10"/>
    </font>
  </fonts>
  <fills count="8">
    <fill>
      <patternFill/>
    </fill>
    <fill>
      <patternFill patternType="gray125"/>
    </fill>
    <fill>
      <patternFill patternType="solid">
        <fgColor rgb="FF1F3864"/>
      </patternFill>
    </fill>
    <fill>
      <patternFill patternType="solid">
        <fgColor rgb="FFD9E1F2"/>
      </patternFill>
    </fill>
    <fill>
      <patternFill patternType="solid">
        <fgColor rgb="FFF4B6B6"/>
      </patternFill>
    </fill>
    <fill>
      <patternFill patternType="solid">
        <fgColor rgb="FFF9D6A5"/>
      </patternFill>
    </fill>
    <fill>
      <patternFill patternType="solid">
        <fgColor rgb="FFFFF2B3"/>
      </patternFill>
    </fill>
    <fill>
      <patternFill patternType="solid">
        <fgColor rgb="FFDCEBF7"/>
      </patternFill>
    </fill>
  </fills>
  <borders count="5">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0" fillId="0" borderId="4" pivotButton="0" quotePrefix="0" xfId="0"/>
    <xf numFmtId="0" fontId="2" fillId="0"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0" fontId="3" fillId="0" borderId="1" applyAlignment="1" pivotButton="0" quotePrefix="0" xfId="0">
      <alignment horizontal="left" vertical="top"/>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dxfs count="4">
    <dxf>
      <fill>
        <patternFill patternType="solid">
          <fgColor rgb="FFF4B6B6"/>
          <bgColor rgb="FFF4B6B6"/>
        </patternFill>
      </fill>
    </dxf>
    <dxf>
      <fill>
        <patternFill patternType="solid">
          <fgColor rgb="FFF9D6A5"/>
          <bgColor rgb="FFF9D6A5"/>
        </patternFill>
      </fill>
    </dxf>
    <dxf>
      <fill>
        <patternFill patternType="solid">
          <fgColor rgb="FFFFF2B3"/>
          <bgColor rgb="FFFFF2B3"/>
        </patternFill>
      </fill>
    </dxf>
    <dxf>
      <fill>
        <patternFill patternType="solid">
          <fgColor rgb="FFDCEBF7"/>
          <bgColor rgb="FFDC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pane="bottomLeft" activeCell="A1" sqref="A1"/>
    </sheetView>
  </sheetViews>
  <sheetFormatPr baseColWidth="8" defaultRowHeight="15"/>
  <cols>
    <col width="34" customWidth="1" min="1" max="1"/>
    <col width="120" customWidth="1" min="2" max="2"/>
  </cols>
  <sheetData>
    <row r="1">
      <c r="A1" s="1" t="inlineStr">
        <is>
          <t>Item</t>
        </is>
      </c>
      <c r="B1" s="1" t="inlineStr">
        <is>
          <t>Description</t>
        </is>
      </c>
    </row>
    <row r="2">
      <c r="A2" s="2" t="inlineStr">
        <is>
          <t>What this workbook is</t>
        </is>
      </c>
      <c r="B2" s="3" t="n"/>
    </row>
    <row r="3">
      <c r="A3" s="4" t="inlineStr">
        <is>
          <t>One contract per workbook</t>
        </is>
      </c>
      <c r="B3" s="5" t="inlineStr">
        <is>
          <t>Produced by the contract review skill from the contract text and the Start2 standards workbook, then checked by a person. Counts and the recommendation update when you edit the Findings sheet.</t>
        </is>
      </c>
    </row>
    <row r="4">
      <c r="A4" s="2" t="inlineStr">
        <is>
          <t>How to use it</t>
        </is>
      </c>
      <c r="B4" s="3" t="n"/>
    </row>
    <row r="5">
      <c r="A5" s="4" t="inlineStr">
        <is>
          <t>1. Summary</t>
        </is>
      </c>
      <c r="B5" s="5" t="inlineStr">
        <is>
          <t>Read the role, the counts and the recommendation. Check the role guess first: if it is wrong, nothing else applies.</t>
        </is>
      </c>
    </row>
    <row r="6">
      <c r="A6" s="4" t="inlineStr">
        <is>
          <t>2. Findings</t>
        </is>
      </c>
      <c r="B6" s="5" t="inlineStr">
        <is>
          <t>Work down the list. It is sorted Critical to Low. Fix, negotiate or accept each item, and change Severity or Type if you disagree. Every Critical, High and client-clause finding must be confirmed by a person.</t>
        </is>
      </c>
    </row>
    <row r="7">
      <c r="A7" s="4" t="inlineStr">
        <is>
          <t>3. Coverage</t>
        </is>
      </c>
      <c r="B7" s="5" t="inlineStr">
        <is>
          <t>Use it to see which standard clauses are present, partial, deviant or missing. It is a view; issues are listed in Findings.</t>
        </is>
      </c>
    </row>
    <row r="8">
      <c r="A8" s="4" t="inlineStr">
        <is>
          <t>4. Checks</t>
        </is>
      </c>
      <c r="B8" s="5" t="inlineStr">
        <is>
          <t>The 12 execution checks. A failed check also appears in Findings.</t>
        </is>
      </c>
    </row>
    <row r="9">
      <c r="A9" s="2" t="inlineStr">
        <is>
          <t>Severity</t>
        </is>
      </c>
      <c r="B9" s="3" t="n"/>
    </row>
    <row r="10">
      <c r="A10" s="4" t="inlineStr">
        <is>
          <t>Critical</t>
        </is>
      </c>
      <c r="B10" s="5" t="inlineStr">
        <is>
          <t>Do not sign (if already executed, escalate at once). Reject threshold met, hard stop, wrong entity, no liability cap, blank essential fields.</t>
        </is>
      </c>
    </row>
    <row r="11">
      <c r="A11" s="4" t="inlineStr">
        <is>
          <t>High</t>
        </is>
      </c>
      <c r="B11" s="5" t="inlineStr">
        <is>
          <t>Fix, or have the full sign-off chain knowingly accept it, before signing. Material cash, liability, IP, data, forum or scope exposure.</t>
        </is>
      </c>
    </row>
    <row r="12">
      <c r="A12" s="4" t="inlineStr">
        <is>
          <t>Medium</t>
        </is>
      </c>
      <c r="B12" s="5" t="inlineStr">
        <is>
          <t>Should be fixed. Negotiable. Raises dispute risk but not direct cash loss.</t>
        </is>
      </c>
    </row>
    <row r="13">
      <c r="A13" s="4" t="inlineStr">
        <is>
          <t>Low</t>
        </is>
      </c>
      <c r="B13" s="5" t="inlineStr">
        <is>
          <t>Housekeeping, optional clauses, accepted client clauses.</t>
        </is>
      </c>
    </row>
    <row r="14">
      <c r="A14" s="2" t="inlineStr">
        <is>
          <t>Sheet: Summary (Item / Value / Where)</t>
        </is>
      </c>
      <c r="B14" s="3" t="n"/>
    </row>
    <row r="15">
      <c r="A15" s="4" t="inlineStr">
        <is>
          <t>Contract</t>
        </is>
      </c>
      <c r="B15" s="5" t="inlineStr">
        <is>
          <t>Name or title of the contract being reviewed.</t>
        </is>
      </c>
    </row>
    <row r="16">
      <c r="A16" s="4" t="inlineStr">
        <is>
          <t>Source file</t>
        </is>
      </c>
      <c r="B16" s="5" t="inlineStr">
        <is>
          <t>File name of the contract that was reviewed.</t>
        </is>
      </c>
    </row>
    <row r="17">
      <c r="A17" s="4" t="inlineStr">
        <is>
          <t>Status</t>
        </is>
      </c>
      <c r="B17" s="5" t="inlineStr">
        <is>
          <t>Draft (unsigned) or Executed (signed). Executed contracts get remediation wording instead of sign/no-sign.</t>
        </is>
      </c>
    </row>
    <row r="18">
      <c r="A18" s="4" t="inlineStr">
        <is>
          <t>Contract type</t>
        </is>
      </c>
      <c r="B18" s="5" t="inlineStr">
        <is>
          <t>Service, Funding, Vendor or Other. Funding agreements (grants, claims, audits) read the fee and cost clauses differently.</t>
        </is>
      </c>
    </row>
    <row r="19">
      <c r="A19" s="4" t="inlineStr">
        <is>
          <t>Whose paper</t>
        </is>
      </c>
      <c r="B19" s="5" t="inlineStr">
        <is>
          <t>Start2 template unmodified, Start2 template modified, or client or third-party paper. Sets the review lead time: 3 business days for the unmodified template, otherwise 5.</t>
        </is>
      </c>
    </row>
    <row r="20">
      <c r="A20" s="4" t="inlineStr">
        <is>
          <t>Standards version</t>
        </is>
      </c>
      <c r="B20" s="5" t="inlineStr">
        <is>
          <t>Version of the standards workbook the contract was checked against.</t>
        </is>
      </c>
    </row>
    <row r="21">
      <c r="A21" s="4" t="inlineStr">
        <is>
          <t>Our entity</t>
        </is>
      </c>
      <c r="B21" s="5" t="inlineStr">
        <is>
          <t>The Start2 entity in this contract. Guessed from the entity list and the text when not obvious.</t>
        </is>
      </c>
    </row>
    <row r="22">
      <c r="A22" s="4" t="inlineStr">
        <is>
          <t>Our role</t>
        </is>
      </c>
      <c r="B22" s="5" t="inlineStr">
        <is>
          <t>Provider, Buyer or Other. The standards cover provider-side contracts only. If the role is not Provider, standards coverage is not applied and the recommendation says so.</t>
        </is>
      </c>
    </row>
    <row r="23">
      <c r="A23" s="4" t="inlineStr">
        <is>
          <t>Role basis</t>
        </is>
      </c>
      <c r="B23" s="5" t="inlineStr">
        <is>
          <t>One sentence on why that role was chosen. Always filled when the role was guessed.</t>
        </is>
      </c>
    </row>
    <row r="24">
      <c r="A24" s="4" t="inlineStr">
        <is>
          <t>Counterparty</t>
        </is>
      </c>
      <c r="B24" s="5" t="inlineStr">
        <is>
          <t>The other party.</t>
        </is>
      </c>
    </row>
    <row r="25">
      <c r="A25" s="4" t="inlineStr">
        <is>
          <t>Critical / High / Medium / Low</t>
        </is>
      </c>
      <c r="B25" s="5" t="inlineStr">
        <is>
          <t>Formulas: number of Findings at each severity.</t>
        </is>
      </c>
    </row>
    <row r="26">
      <c r="A26" s="4" t="inlineStr">
        <is>
          <t>Recommendation</t>
        </is>
      </c>
      <c r="B26" s="5" t="inlineStr">
        <is>
          <t>Formula. Draft: any Critical = Escalate; any High = Proceed with named conditions; otherwise Proceed. Executed: no signature gate; Critical items are escalated and High items logged for amendment or renewal.</t>
        </is>
      </c>
    </row>
    <row r="27">
      <c r="A27" s="4" t="inlineStr">
        <is>
          <t>Review lead time</t>
        </is>
      </c>
      <c r="B27" s="5" t="inlineStr">
        <is>
          <t>Formula from Whose paper.</t>
        </is>
      </c>
    </row>
    <row r="28">
      <c r="A28" s="4" t="inlineStr">
        <is>
          <t>Sign-off chain</t>
        </is>
      </c>
      <c r="B28" s="5" t="inlineStr">
        <is>
          <t>Fixed. Every contract goes to all three approvers in order.</t>
        </is>
      </c>
    </row>
    <row r="29">
      <c r="A29" s="4" t="inlineStr">
        <is>
          <t>Key facts (Fact / Value / Where)</t>
        </is>
      </c>
      <c r="B29" s="5" t="inlineStr">
        <is>
          <t>Facts used in the review: parties, dates, amounts, law, forum, language, annexes, with arithmetic checks. Where gives the contract reference and page.</t>
        </is>
      </c>
    </row>
    <row r="30">
      <c r="A30" s="2" t="inlineStr">
        <is>
          <t>Sheet: Findings (one row per issue)</t>
        </is>
      </c>
      <c r="B30" s="3" t="n"/>
    </row>
    <row r="31">
      <c r="A31" s="4" t="inlineStr">
        <is>
          <t>#</t>
        </is>
      </c>
      <c r="B31" s="5" t="inlineStr">
        <is>
          <t>Running number.</t>
        </is>
      </c>
    </row>
    <row r="32">
      <c r="A32" s="4" t="inlineStr">
        <is>
          <t>Severity</t>
        </is>
      </c>
      <c r="B32" s="5" t="inlineStr">
        <is>
          <t>Critical, High, Medium or Low (drop-down).</t>
        </is>
      </c>
    </row>
    <row r="33">
      <c r="A33" s="4" t="inlineStr">
        <is>
          <t>Type</t>
        </is>
      </c>
      <c r="B33" s="5" t="inlineStr">
        <is>
          <t>Missing, Partial or Deviant (a standard clause); Client: Reject, Escalate, Conditional or Accept (a client-added clause matched to the playbook); Unclassified clause (not in the standard or playbook, generic screen); Commercial (fee, dates, arithmetic); Execution (a failed check); Other.</t>
        </is>
      </c>
    </row>
    <row r="34">
      <c r="A34" s="4" t="inlineStr">
        <is>
          <t>Clause</t>
        </is>
      </c>
      <c r="B34" s="5" t="inlineStr">
        <is>
          <t>Standard clause ID (for example LOL), the playbook row name, or Check n.</t>
        </is>
      </c>
    </row>
    <row r="35">
      <c r="A35" s="4" t="inlineStr">
        <is>
          <t>Where</t>
        </is>
      </c>
      <c r="B35" s="5" t="inlineStr">
        <is>
          <t>Contract clause number and page, for example 13.1 (p. 10). 'Not in contract' for an absent clause.</t>
        </is>
      </c>
    </row>
    <row r="36">
      <c r="A36" s="4" t="inlineStr">
        <is>
          <t>Quote</t>
        </is>
      </c>
      <c r="B36" s="5" t="inlineStr">
        <is>
          <t>Verbatim text from the contract. Scanned contracts are transcribed from page images, so check the page before relying on a quote.</t>
        </is>
      </c>
    </row>
    <row r="37">
      <c r="A37" s="4" t="inlineStr">
        <is>
          <t>Issue</t>
        </is>
      </c>
      <c r="B37" s="5" t="inlineStr">
        <is>
          <t>What is wrong and why it matters, against the standard.</t>
        </is>
      </c>
    </row>
    <row r="38">
      <c r="A38" s="4" t="inlineStr">
        <is>
          <t>Action</t>
        </is>
      </c>
      <c r="B38" s="5" t="inlineStr">
        <is>
          <t>What to do: insert, change, accept, escalate, or confirm.</t>
        </is>
      </c>
    </row>
    <row r="39">
      <c r="A39" s="2" t="inlineStr">
        <is>
          <t>Sheet: Coverage (one row per standard clause)</t>
        </is>
      </c>
      <c r="B39" s="3" t="n"/>
    </row>
    <row r="40">
      <c r="A40" s="4" t="inlineStr">
        <is>
          <t>ID</t>
        </is>
      </c>
      <c r="B40" s="5" t="inlineStr">
        <is>
          <t>Stable clause key from the standards workbook.</t>
        </is>
      </c>
    </row>
    <row r="41">
      <c r="A41" s="4" t="inlineStr">
        <is>
          <t>Clause</t>
        </is>
      </c>
      <c r="B41" s="5" t="inlineStr">
        <is>
          <t>Clause name.</t>
        </is>
      </c>
    </row>
    <row r="42">
      <c r="A42" s="4" t="inlineStr">
        <is>
          <t>Base severity</t>
        </is>
      </c>
      <c r="B42" s="5" t="inlineStr">
        <is>
          <t>Severity if the clause is missing or deviant. Editable for this contract (for example raise anti-bribery to Medium for a government counterparty). n/a for internal rules.</t>
        </is>
      </c>
    </row>
    <row r="43">
      <c r="A43" s="4" t="inlineStr">
        <is>
          <t>Verdict</t>
        </is>
      </c>
      <c r="B43" s="5" t="inlineStr">
        <is>
          <t>Conforming, Partial, Deviant, Missing, or N/A (drop-down).</t>
        </is>
      </c>
    </row>
    <row r="44">
      <c r="A44" s="4" t="inlineStr">
        <is>
          <t>Where</t>
        </is>
      </c>
      <c r="B44" s="5" t="inlineStr">
        <is>
          <t>Contract clause number and page where the clause was found.</t>
        </is>
      </c>
    </row>
    <row r="45">
      <c r="A45" s="4" t="inlineStr">
        <is>
          <t>Severity</t>
        </is>
      </c>
      <c r="B45" s="5" t="inlineStr">
        <is>
          <t>Formula. Missing or Deviant = Base severity; Partial = one level lower (floor Low); Conforming or N/A = '-'.</t>
        </is>
      </c>
    </row>
    <row r="46">
      <c r="A46" s="4" t="inlineStr">
        <is>
          <t>Note</t>
        </is>
      </c>
      <c r="B46" s="5" t="inlineStr">
        <is>
          <t>One line on what is present or absent. Details are in Findings.</t>
        </is>
      </c>
    </row>
    <row r="47">
      <c r="A47" s="2" t="inlineStr">
        <is>
          <t>Sheet: Checks (one row per execution check)</t>
        </is>
      </c>
      <c r="B47" s="3" t="n"/>
    </row>
    <row r="48">
      <c r="A48" s="4" t="inlineStr">
        <is>
          <t>#</t>
        </is>
      </c>
      <c r="B48" s="5" t="inlineStr">
        <is>
          <t>Number of the check in the standards workbook.</t>
        </is>
      </c>
    </row>
    <row r="49">
      <c r="A49" s="4" t="inlineStr">
        <is>
          <t>Check</t>
        </is>
      </c>
      <c r="B49" s="5" t="inlineStr">
        <is>
          <t>What is verified before a draft leaves Start2 and again before signature.</t>
        </is>
      </c>
    </row>
    <row r="50">
      <c r="A50" s="4" t="inlineStr">
        <is>
          <t>Result</t>
        </is>
      </c>
      <c r="B50" s="5" t="inlineStr">
        <is>
          <t>Pass, Fail, N/A or Cannot verify (drop-down).</t>
        </is>
      </c>
    </row>
    <row r="51">
      <c r="A51" s="4" t="inlineStr">
        <is>
          <t>Evidence</t>
        </is>
      </c>
      <c r="B51" s="5" t="inlineStr">
        <is>
          <t>What was seen, with page references.</t>
        </is>
      </c>
    </row>
    <row r="52">
      <c r="A52" s="2" t="inlineStr">
        <is>
          <t>Rules</t>
        </is>
      </c>
      <c r="B52" s="3" t="n"/>
    </row>
    <row r="53">
      <c r="A53" s="4" t="inlineStr">
        <is>
          <t>Counts</t>
        </is>
      </c>
      <c r="B53" s="5" t="inlineStr">
        <is>
          <t>Counts and the recommendation use the Findings sheet only. Coverage severity is a view and is not counted.</t>
        </is>
      </c>
    </row>
    <row r="54">
      <c r="A54" s="4" t="inlineStr">
        <is>
          <t>Role</t>
        </is>
      </c>
      <c r="B54" s="5" t="inlineStr">
        <is>
          <t>The role is guessed when unclear and recorded on Summary. The skill never stops to ask.</t>
        </is>
      </c>
    </row>
    <row r="55">
      <c r="A55" s="4" t="inlineStr">
        <is>
          <t>Not legal advice</t>
        </is>
      </c>
      <c r="B55" s="5" t="inlineStr">
        <is>
          <t>A screen against Start2 standards. Decisions follow the sign-off chain.</t>
        </is>
      </c>
    </row>
  </sheetData>
  <mergeCells count="8">
    <mergeCell ref="A4:B4"/>
    <mergeCell ref="A30:B30"/>
    <mergeCell ref="A2:B2"/>
    <mergeCell ref="A52:B52"/>
    <mergeCell ref="A47:B47"/>
    <mergeCell ref="A14:B14"/>
    <mergeCell ref="A9:B9"/>
    <mergeCell ref="A39:B3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
  <sheetViews>
    <sheetView workbookViewId="0">
      <selection pane="bottomLeft" activeCell="A1" sqref="A1"/>
    </sheetView>
  </sheetViews>
  <sheetFormatPr baseColWidth="8" defaultRowHeight="15"/>
  <cols>
    <col width="34" customWidth="1" min="1" max="1"/>
    <col width="90" customWidth="1" min="2" max="2"/>
    <col width="30" customWidth="1" min="3" max="3"/>
  </cols>
  <sheetData>
    <row r="1">
      <c r="A1" s="1" t="inlineStr">
        <is>
          <t>Item</t>
        </is>
      </c>
      <c r="B1" s="1" t="inlineStr">
        <is>
          <t>Value</t>
        </is>
      </c>
      <c r="C1" s="1" t="inlineStr">
        <is>
          <t>Where</t>
        </is>
      </c>
    </row>
    <row r="2">
      <c r="A2" s="2" t="inlineStr">
        <is>
          <t>Contract</t>
        </is>
      </c>
      <c r="B2" s="2" t="n"/>
      <c r="C2" s="2" t="n"/>
    </row>
    <row r="3">
      <c r="A3" s="4" t="inlineStr">
        <is>
          <t>Contract</t>
        </is>
      </c>
      <c r="B3" s="5" t="inlineStr">
        <is>
          <t>Collaboration Agreement: Enterprise Singapore and German Entrepreneurship Asia (GIA Innovation Launchpad)</t>
        </is>
      </c>
      <c r="C3" s="5" t="n"/>
    </row>
    <row r="4">
      <c r="A4" s="4" t="inlineStr">
        <is>
          <t>Source file</t>
        </is>
      </c>
      <c r="B4" s="5" t="inlineStr">
        <is>
          <t>e72042d1-ESG_GIA_version_1_ESG_x_GEA_contract_20191104.pdf (28 pages, scanned)</t>
        </is>
      </c>
      <c r="C4" s="5" t="n"/>
    </row>
    <row r="5">
      <c r="A5" s="4" t="inlineStr">
        <is>
          <t>Status</t>
        </is>
      </c>
      <c r="B5" s="5" t="inlineStr">
        <is>
          <t>Executed</t>
        </is>
      </c>
      <c r="C5" s="5" t="n"/>
    </row>
    <row r="6">
      <c r="A6" s="4" t="inlineStr">
        <is>
          <t>Contract type</t>
        </is>
      </c>
      <c r="B6" s="5" t="inlineStr">
        <is>
          <t>Funding</t>
        </is>
      </c>
      <c r="C6" s="5" t="n"/>
    </row>
    <row r="7">
      <c r="A7" s="4" t="inlineStr">
        <is>
          <t>Whose paper</t>
        </is>
      </c>
      <c r="B7" s="5" t="inlineStr">
        <is>
          <t>Client or third-party paper</t>
        </is>
      </c>
      <c r="C7" s="5" t="n"/>
    </row>
    <row r="8">
      <c r="A8" s="4" t="inlineStr">
        <is>
          <t>Standards version</t>
        </is>
      </c>
      <c r="B8" s="5" t="inlineStr">
        <is>
          <t>Start2_Asia_Contract_Standards_UP_15_Oct_v5</t>
        </is>
      </c>
      <c r="C8" s="5" t="n"/>
    </row>
    <row r="9">
      <c r="A9" s="2" t="inlineStr">
        <is>
          <t>Our side</t>
        </is>
      </c>
      <c r="B9" s="2" t="n"/>
      <c r="C9" s="2" t="n"/>
    </row>
    <row r="10">
      <c r="A10" s="4" t="inlineStr">
        <is>
          <t>Our entity</t>
        </is>
      </c>
      <c r="B10" s="5" t="inlineStr">
        <is>
          <t>German Entrepreneurship Asia Pte Ltd (GEA), UEN 201734553W</t>
        </is>
      </c>
      <c r="C10" s="5" t="n"/>
    </row>
    <row r="11">
      <c r="A11" s="4" t="inlineStr">
        <is>
          <t>Our role</t>
        </is>
      </c>
      <c r="B11" s="5" t="inlineStr">
        <is>
          <t>Provider</t>
        </is>
      </c>
      <c r="C11" s="5" t="n"/>
    </row>
    <row r="12">
      <c r="A12" s="4" t="inlineStr">
        <is>
          <t>Role basis</t>
        </is>
      </c>
      <c r="B12" s="5" t="inlineStr">
        <is>
          <t>GEA delivers the Programme and receives the Funding; its name matches the Start2 predecessor entity (assumed).</t>
        </is>
      </c>
      <c r="C12" s="5" t="n"/>
    </row>
    <row r="13">
      <c r="A13" s="4" t="inlineStr">
        <is>
          <t>Counterparty</t>
        </is>
      </c>
      <c r="B13" s="5" t="inlineStr">
        <is>
          <t>Enterprise Singapore (ESG)</t>
        </is>
      </c>
      <c r="C13" s="5" t="n"/>
    </row>
    <row r="14">
      <c r="A14" s="2" t="inlineStr">
        <is>
          <t>Result</t>
        </is>
      </c>
      <c r="B14" s="2" t="n"/>
      <c r="C14" s="2" t="n"/>
    </row>
    <row r="15">
      <c r="A15" s="6" t="inlineStr">
        <is>
          <t>Critical</t>
        </is>
      </c>
      <c r="B15" s="7">
        <f>COUNTIF(Findings!$B$2:$B$300,"Critical")</f>
        <v/>
      </c>
      <c r="C15" s="5" t="n"/>
    </row>
    <row r="16">
      <c r="A16" s="8" t="inlineStr">
        <is>
          <t>High</t>
        </is>
      </c>
      <c r="B16" s="7">
        <f>COUNTIF(Findings!$B$2:$B$300,"High")</f>
        <v/>
      </c>
      <c r="C16" s="5" t="n"/>
    </row>
    <row r="17">
      <c r="A17" s="9" t="inlineStr">
        <is>
          <t>Medium</t>
        </is>
      </c>
      <c r="B17" s="7">
        <f>COUNTIF(Findings!$B$2:$B$300,"Medium")</f>
        <v/>
      </c>
      <c r="C17" s="5" t="n"/>
    </row>
    <row r="18">
      <c r="A18" s="10" t="inlineStr">
        <is>
          <t>Low</t>
        </is>
      </c>
      <c r="B18" s="7">
        <f>COUNTIF(Findings!$B$2:$B$300,"Low")</f>
        <v/>
      </c>
      <c r="C18" s="5" t="n"/>
    </row>
    <row r="19">
      <c r="A19" s="4" t="inlineStr">
        <is>
          <t>Recommendation</t>
        </is>
      </c>
      <c r="B19" s="5">
        <f>IF(OR(B5="",B11=""),"",IF(B11&lt;&gt;"Provider","Not assessed: the standards cover provider-side contracts only",IF(B5="Executed",IF(B15&gt;0,"Executed: escalate Critical items and log High items for amendment or renewal",IF(B16&gt;0,"Executed: log High items for amendment or renewal","Executed: no action required")),IF(B15&gt;0,"Escalate",IF(B16&gt;0,"Proceed with named conditions","Proceed")))))</f>
        <v/>
      </c>
      <c r="C19" s="5" t="n"/>
    </row>
    <row r="20">
      <c r="A20" s="4" t="inlineStr">
        <is>
          <t>Review lead time</t>
        </is>
      </c>
      <c r="B20" s="5">
        <f>IF(B7="","",IF(B7="Start2 template, unmodified","3 business days","5 business days"))</f>
        <v/>
      </c>
      <c r="C20" s="5" t="n"/>
    </row>
    <row r="21">
      <c r="A21" s="4" t="inlineStr">
        <is>
          <t>Sign-off chain</t>
        </is>
      </c>
      <c r="B21" s="5" t="inlineStr">
        <is>
          <t>1. Director of People and Operations; 2. Regional Director of Innovation and Product Strategy; 3. CEO. Applies to every contract.</t>
        </is>
      </c>
      <c r="C21" s="5" t="n"/>
    </row>
    <row r="22">
      <c r="A22" s="2" t="inlineStr">
        <is>
          <t>Key facts</t>
        </is>
      </c>
      <c r="B22" s="2" t="n"/>
      <c r="C22" s="2" t="n"/>
    </row>
    <row r="23">
      <c r="A23" s="4" t="inlineStr">
        <is>
          <t>Signed</t>
        </is>
      </c>
      <c r="B23" s="5" t="inlineStr">
        <is>
          <t>04/11/2019, both parties, wet ink</t>
        </is>
      </c>
      <c r="C23" s="5" t="inlineStr">
        <is>
          <t>p. 12</t>
        </is>
      </c>
    </row>
    <row r="24">
      <c r="A24" s="4" t="inlineStr">
        <is>
          <t>Funding cap</t>
        </is>
      </c>
      <c r="B24" s="5" t="inlineStr">
        <is>
          <t>SGD 2,890,000 = Set-Up SGD 700,000 + Programme SGD 2,190,000 (sum checks)</t>
        </is>
      </c>
      <c r="C24" s="5" t="inlineStr">
        <is>
          <t>5.1; p. 3</t>
        </is>
      </c>
    </row>
    <row r="25">
      <c r="A25" s="4" t="inlineStr">
        <is>
          <t>Programme Cost check</t>
        </is>
      </c>
      <c r="B25" s="5" t="inlineStr">
        <is>
          <t>40 x 30,000 + 10 x 99,000 = 2,190,000 (matches cap)</t>
        </is>
      </c>
      <c r="C25" s="5" t="inlineStr">
        <is>
          <t>7.2; p. 5</t>
        </is>
      </c>
    </row>
    <row r="26">
      <c r="A26" s="4" t="inlineStr">
        <is>
          <t>Annex B total</t>
        </is>
      </c>
      <c r="B26" s="5" t="inlineStr">
        <is>
          <t>SGD 966,620 (lines sum correctly) against Set-Up cap SGD 700,000: gap SGD 266,620</t>
        </is>
      </c>
      <c r="C26" s="5" t="inlineStr">
        <is>
          <t>Annex B; p. 14</t>
        </is>
      </c>
    </row>
    <row r="27">
      <c r="A27" s="4" t="inlineStr">
        <is>
          <t>Term</t>
        </is>
      </c>
      <c r="B27" s="5" t="inlineStr">
        <is>
          <t>Two years from signing; Commencement Date 04/11/2019; end date not stated</t>
        </is>
      </c>
      <c r="C27" s="5" t="inlineStr">
        <is>
          <t>3, 11.1; pp. 2, 8</t>
        </is>
      </c>
    </row>
    <row r="28">
      <c r="A28" s="4" t="inlineStr">
        <is>
          <t>Governing law / forum</t>
        </is>
      </c>
      <c r="B28" s="5" t="inlineStr">
        <is>
          <t>Singapore law; no binding forum</t>
        </is>
      </c>
      <c r="C28" s="5" t="inlineStr">
        <is>
          <t>21.1; p. 11</t>
        </is>
      </c>
    </row>
    <row r="29">
      <c r="A29" s="4" t="inlineStr">
        <is>
          <t>Language</t>
        </is>
      </c>
      <c r="B29" s="5" t="inlineStr">
        <is>
          <t>English</t>
        </is>
      </c>
      <c r="C29" s="5" t="inlineStr"/>
    </row>
    <row r="30">
      <c r="A30" s="4" t="inlineStr">
        <is>
          <t>Annexes</t>
        </is>
      </c>
      <c r="B30" s="5" t="inlineStr">
        <is>
          <t>A, D, E, F are icons only; B and C present; Forms 1a, 1b, GIRO and the FAQ appended. The FAQ forms part of the contract.</t>
        </is>
      </c>
      <c r="C30" s="5" t="inlineStr">
        <is>
          <t>pp. 13-28</t>
        </is>
      </c>
    </row>
  </sheetData>
  <conditionalFormatting sqref="A15:A18">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dataValidations count="4">
    <dataValidation sqref="B5" showDropDown="0" showInputMessage="0" showErrorMessage="0" allowBlank="1" type="list">
      <formula1>"Draft,Executed"</formula1>
    </dataValidation>
    <dataValidation sqref="B6" showDropDown="0" showInputMessage="0" showErrorMessage="0" allowBlank="1" type="list">
      <formula1>"Service,Funding,Vendor,Other"</formula1>
    </dataValidation>
    <dataValidation sqref="B7" showDropDown="0" showInputMessage="0" showErrorMessage="0" allowBlank="1" type="list">
      <formula1>"Start2 template, unmodified,Start2 template, modified,Client or third-party paper"</formula1>
    </dataValidation>
    <dataValidation sqref="B11" showDropDown="0" showInputMessage="0" showErrorMessage="0" allowBlank="1" type="list">
      <formula1>"Provider,Buyer,Other"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6"/>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18" customWidth="1" min="3" max="3"/>
    <col width="18" customWidth="1" min="4" max="4"/>
    <col width="22" customWidth="1" min="5" max="5"/>
    <col width="50" customWidth="1" min="6" max="6"/>
    <col width="62" customWidth="1" min="7" max="7"/>
    <col width="44" customWidth="1" min="8" max="8"/>
  </cols>
  <sheetData>
    <row r="1">
      <c r="A1" s="1" t="inlineStr">
        <is>
          <t>#</t>
        </is>
      </c>
      <c r="B1" s="1" t="inlineStr">
        <is>
          <t>Severity</t>
        </is>
      </c>
      <c r="C1" s="1" t="inlineStr">
        <is>
          <t>Type</t>
        </is>
      </c>
      <c r="D1" s="1" t="inlineStr">
        <is>
          <t>Clause</t>
        </is>
      </c>
      <c r="E1" s="1" t="inlineStr">
        <is>
          <t>Where</t>
        </is>
      </c>
      <c r="F1" s="1" t="inlineStr">
        <is>
          <t>Quote</t>
        </is>
      </c>
      <c r="G1" s="1" t="inlineStr">
        <is>
          <t>Issue</t>
        </is>
      </c>
      <c r="H1" s="1" t="inlineStr">
        <is>
          <t>Action</t>
        </is>
      </c>
    </row>
    <row r="2">
      <c r="A2" s="5" t="n">
        <v>1</v>
      </c>
      <c r="B2" s="5" t="inlineStr">
        <is>
          <t>Critical</t>
        </is>
      </c>
      <c r="C2" s="5" t="inlineStr">
        <is>
          <t>Missing</t>
        </is>
      </c>
      <c r="D2" s="5" t="inlineStr">
        <is>
          <t>LOL</t>
        </is>
      </c>
      <c r="E2" s="5" t="inlineStr">
        <is>
          <t>Not in contract</t>
        </is>
      </c>
      <c r="F2" s="5" t="inlineStr">
        <is>
          <t>(clause absent)</t>
        </is>
      </c>
      <c r="G2" s="5" t="inlineStr">
        <is>
          <t>No exclusion of indirect or consequential loss and no cap on GEA liability. Exposure is unlimited by default, bounded only by the 12.1 refund of Funding.</t>
        </is>
      </c>
      <c r="H2" s="5" t="inlineStr">
        <is>
          <t>Insert standard LOL clause. General cap at total Funding paid or payable.</t>
        </is>
      </c>
    </row>
    <row r="3">
      <c r="A3" s="5" t="n">
        <v>2</v>
      </c>
      <c r="B3" s="5" t="inlineStr">
        <is>
          <t>High</t>
        </is>
      </c>
      <c r="C3" s="5" t="inlineStr">
        <is>
          <t>Deviant</t>
        </is>
      </c>
      <c r="D3" s="5" t="inlineStr">
        <is>
          <t>ASSIGN</t>
        </is>
      </c>
      <c r="E3" s="5" t="inlineStr">
        <is>
          <t>18.1; 6.3(e)-(g) (p. 10-11, 4)</t>
        </is>
      </c>
      <c r="F3" s="5" t="inlineStr">
        <is>
          <t>any attempted assignment, subcontract or participation without such consent shall be null and void.</t>
        </is>
      </c>
      <c r="G3" s="5" t="inlineStr">
        <is>
          <t>Restriction on subcontracting is mutual, but 6.3(e) to (g) budget for partners, trainers and mentors. Every such engagement is void without ESG consent.</t>
        </is>
      </c>
      <c r="H3" s="5" t="inlineStr">
        <is>
          <t>Insert the standard carve-out.</t>
        </is>
      </c>
    </row>
    <row r="4">
      <c r="A4" s="5" t="n">
        <v>3</v>
      </c>
      <c r="B4" s="5" t="inlineStr">
        <is>
          <t>High</t>
        </is>
      </c>
      <c r="C4" s="5" t="inlineStr">
        <is>
          <t>Client: Escalate</t>
        </is>
      </c>
      <c r="D4" s="5" t="inlineStr">
        <is>
          <t>Audit rights (grant flow-down)</t>
        </is>
      </c>
      <c r="E4" s="5" t="inlineStr">
        <is>
          <t>6.5, 6.6, 8.5 (p. 4, 8)</t>
        </is>
      </c>
      <c r="F4" s="5" t="inlineStr">
        <is>
          <t>for at least 5 years after the expiry of the Project Period and such aforementioned documents may be inspected by ESG or its representatives upon prior written request of not less than 14 days</t>
        </is>
      </c>
      <c r="G4" s="5" t="inlineStr">
        <is>
          <t>Audit by an ESG pre-qualified auditor plus 5-year retention and inspection by ESG or "its representatives" on 14 days' notice. No frequency limit, no auditor confidentiality, no facilitation fee, the FAQ (part of the contract) has GEA engage the auditor, so GEA carries the audit cost, which 6.4(d) does not fund. Matches the grant flow-down row, which is accepted as an exception but must be flagged and escalated.</t>
        </is>
      </c>
      <c r="H4" s="5" t="inlineStr">
        <is>
          <t>Flag internally and escalate. Seek auditor confidentiality and a once-only inspection limit.</t>
        </is>
      </c>
    </row>
    <row r="5">
      <c r="A5" s="5" t="n">
        <v>4</v>
      </c>
      <c r="B5" s="5" t="inlineStr">
        <is>
          <t>High</t>
        </is>
      </c>
      <c r="C5" s="5" t="inlineStr">
        <is>
          <t>Deviant</t>
        </is>
      </c>
      <c r="D5" s="5" t="inlineStr">
        <is>
          <t>CONF</t>
        </is>
      </c>
      <c r="E5" s="5" t="inlineStr">
        <is>
          <t>13.1 (p. 10)</t>
        </is>
      </c>
      <c r="F5" s="5" t="inlineStr">
        <is>
          <t>GEA shall not disclose to unrelated third parties, either directly or indirectly, any information whatsoever regarding the existence or content of this Agreement without first obtaining ESG's consent.</t>
        </is>
      </c>
      <c r="G5" s="5" t="inlineStr">
        <is>
          <t>Confidentiality binds GEA only. ESG has no duty, Start2 methodology and participant information are unprotected, and 8.1 requires GEA to share participant survey information with ESG.</t>
        </is>
      </c>
      <c r="H5" s="5" t="inlineStr">
        <is>
          <t>Replace with the standard mutual clause including the carve-out for startups sharing information with mentors and potential clients.</t>
        </is>
      </c>
    </row>
    <row r="6">
      <c r="A6" s="5" t="n">
        <v>5</v>
      </c>
      <c r="B6" s="5" t="inlineStr">
        <is>
          <t>High</t>
        </is>
      </c>
      <c r="C6" s="5" t="inlineStr">
        <is>
          <t>Execution</t>
        </is>
      </c>
      <c r="D6" s="5" t="inlineStr">
        <is>
          <t>Check 9</t>
        </is>
      </c>
      <c r="E6" s="5" t="inlineStr">
        <is>
          <t>Annex A, D, E, F (p. 13, 16-18)</t>
        </is>
      </c>
      <c r="F6" s="5" t="inlineStr">
        <is>
          <t>Scaler8 Programme.pdf</t>
        </is>
      </c>
      <c r="G6" s="5" t="inlineStr">
        <is>
          <t>Annex A (the programme proposal that defines scope under 2.1 and 4(a)) and the Annex D, E and F templates appear only as embedded-file icons. Their content is not in the copy.</t>
        </is>
      </c>
      <c r="H6" s="5" t="inlineStr">
        <is>
          <t>Obtain and attach the annex files; treat scope as undefined until then.</t>
        </is>
      </c>
    </row>
    <row r="7">
      <c r="A7" s="5" t="n">
        <v>6</v>
      </c>
      <c r="B7" s="5" t="inlineStr">
        <is>
          <t>High</t>
        </is>
      </c>
      <c r="C7" s="5" t="inlineStr">
        <is>
          <t>Execution</t>
        </is>
      </c>
      <c r="D7" s="5" t="inlineStr">
        <is>
          <t>Check 9</t>
        </is>
      </c>
      <c r="E7" s="5" t="inlineStr">
        <is>
          <t>7.3 Module 2 table (p. 6, 16-18)</t>
        </is>
      </c>
      <c r="F7" s="5" t="inlineStr">
        <is>
          <t>as per template set out in Annex E ... Survey form in the form set out in Annex F</t>
        </is>
      </c>
      <c r="G7" s="5" t="inlineStr">
        <is>
          <t>Module 2 claim documents cite Annex E for the attendance template and Annex F for the survey form. Annex D is the attendance form, Annex E the survey form, and Annex F the progress tracking sheet. Wrong references sit in a payment-release condition.</t>
        </is>
      </c>
      <c r="H7" s="5" t="inlineStr">
        <is>
          <t>Correct to Annex D (attendance) and Annex E (survey).</t>
        </is>
      </c>
    </row>
    <row r="8">
      <c r="A8" s="5" t="n">
        <v>7</v>
      </c>
      <c r="B8" s="5" t="inlineStr">
        <is>
          <t>High</t>
        </is>
      </c>
      <c r="C8" s="5" t="inlineStr">
        <is>
          <t>Missing</t>
        </is>
      </c>
      <c r="D8" s="5" t="inlineStr">
        <is>
          <t>DP</t>
        </is>
      </c>
      <c r="E8" s="5" t="inlineStr">
        <is>
          <t>8.1 (p. 7)</t>
        </is>
      </c>
      <c r="F8" s="5" t="inlineStr">
        <is>
          <t>GEA shall require Participants to provide the survey form attached in Annex E ... and shall obtain the relevant consents from the Participants to share such information with ESG.</t>
        </is>
      </c>
      <c r="G8" s="5" t="inlineStr">
        <is>
          <t>No data protection clause although GEA collects participant, financing, valuation and revenue data in Singapore and Germany and passes it to ESG.</t>
        </is>
      </c>
      <c r="H8" s="5" t="inlineStr">
        <is>
          <t>Insert clause naming PDPA (Singapore) and the German or EU regime that applies to the Germany activities.</t>
        </is>
      </c>
    </row>
    <row r="9">
      <c r="A9" s="5" t="n">
        <v>8</v>
      </c>
      <c r="B9" s="5" t="inlineStr">
        <is>
          <t>High</t>
        </is>
      </c>
      <c r="C9" s="5" t="inlineStr">
        <is>
          <t>Partial</t>
        </is>
      </c>
      <c r="D9" s="5" t="inlineStr">
        <is>
          <t>FEE</t>
        </is>
      </c>
      <c r="E9" s="5" t="inlineStr">
        <is>
          <t>5.1, 5.1(a)-(b), 7.1 (p. 3, 5)</t>
        </is>
      </c>
      <c r="F9" s="5" t="inlineStr">
        <is>
          <t>up to a maximum total sum of SGD2,890,000 (the "Funding") (such sum being exclusive of payment of any form of Singapore taxes which are claimable, including but not limited to GST and withholding taxes)</t>
        </is>
      </c>
      <c r="G9" s="5" t="inlineStr">
        <is>
          <t>Funding is a ceiling, not a commitment. Tax wording is ambiguous (is GST on top?). No gross-up for withholding. No payment period after a claim is submitted.</t>
        </is>
      </c>
      <c r="H9" s="5" t="inlineStr">
        <is>
          <t>State GST treatment, add withholding gross-up, define a payment period, and distinguish committed from maximum amounts.</t>
        </is>
      </c>
    </row>
    <row r="10">
      <c r="A10" s="5" t="n">
        <v>9</v>
      </c>
      <c r="B10" s="5" t="inlineStr">
        <is>
          <t>High</t>
        </is>
      </c>
      <c r="C10" s="5" t="inlineStr">
        <is>
          <t>Commercial</t>
        </is>
      </c>
      <c r="D10" s="5" t="inlineStr">
        <is>
          <t>FEE</t>
        </is>
      </c>
      <c r="E10" s="5" t="inlineStr">
        <is>
          <t>5.1(a), Annex B (p. 3, 14)</t>
        </is>
      </c>
      <c r="F10" s="5" t="inlineStr">
        <is>
          <t>a one-time set-up cost of up to SGD700,000 / Explanation of Down Payment Usage for 1st year of Scaler8 Program SGD 966,620</t>
        </is>
      </c>
      <c r="G10" s="5" t="inlineStr">
        <is>
          <t>Annex B projects first-year set-up costs of SGD 966,620 against a Set-Up Cost cap of SGD 700,000. The gap of SGD 266,620 is unfunded or must be recovered through Programme Cost claims, and 6.7 refunds any shortfall in eligible audited cost.</t>
        </is>
      </c>
      <c r="H10" s="5" t="inlineStr">
        <is>
          <t>Reconcile Annex B to the cap or document who bears the SGD 266,620.</t>
        </is>
      </c>
    </row>
    <row r="11">
      <c r="A11" s="5" t="n">
        <v>10</v>
      </c>
      <c r="B11" s="5" t="inlineStr">
        <is>
          <t>High</t>
        </is>
      </c>
      <c r="C11" s="5" t="inlineStr">
        <is>
          <t>Commercial</t>
        </is>
      </c>
      <c r="D11" s="5" t="inlineStr">
        <is>
          <t>FEE</t>
        </is>
      </c>
      <c r="E11" s="5" t="inlineStr">
        <is>
          <t>6.3, 6.4(d), Annex B (p. 4, 14)</t>
        </is>
      </c>
      <c r="F11" s="5" t="inlineStr">
        <is>
          <t>Any indirect costs incurred including but not limited to administration, finance, human resources and support services for information technology.</t>
        </is>
      </c>
      <c r="G11" s="5" t="inlineStr">
        <is>
          <t>Annex B includes consultant fees (two lines of SGD 160,000 per year, one for a named person who is also the GEA signatory) and management review meetings. Clause 6.3 lists employed staff salary and specific items; consultant fees are not listed and may be disallowed as indirect or ineligible under 6.4(d), leading to refund under 6.5 to 6.7.</t>
        </is>
      </c>
      <c r="H11" s="5" t="inlineStr">
        <is>
          <t>Confirm eligibility of each Annex B line in writing with ESG (6.3(j) allows other costs ESG approves in writing).</t>
        </is>
      </c>
    </row>
    <row r="12">
      <c r="A12" s="5" t="n">
        <v>11</v>
      </c>
      <c r="B12" s="5" t="inlineStr">
        <is>
          <t>High</t>
        </is>
      </c>
      <c r="C12" s="5" t="inlineStr">
        <is>
          <t>Missing</t>
        </is>
      </c>
      <c r="D12" s="5" t="inlineStr">
        <is>
          <t>INDEM</t>
        </is>
      </c>
      <c r="E12" s="5" t="inlineStr">
        <is>
          <t>Not in contract</t>
        </is>
      </c>
      <c r="F12" s="5" t="inlineStr">
        <is>
          <t>(clause absent)</t>
        </is>
      </c>
      <c r="G12" s="5" t="inlineStr">
        <is>
          <t>No indemnity either way, so no client indemnity for claims caused by participating startups.</t>
        </is>
      </c>
      <c r="H12" s="5" t="inlineStr">
        <is>
          <t>Insert standard clause.</t>
        </is>
      </c>
    </row>
    <row r="13">
      <c r="A13" s="5" t="n">
        <v>12</v>
      </c>
      <c r="B13" s="5" t="inlineStr">
        <is>
          <t>High</t>
        </is>
      </c>
      <c r="C13" s="5" t="inlineStr">
        <is>
          <t>Missing</t>
        </is>
      </c>
      <c r="D13" s="5" t="inlineStr">
        <is>
          <t>IP</t>
        </is>
      </c>
      <c r="E13" s="5" t="inlineStr">
        <is>
          <t>15.1 only (p. 10)</t>
        </is>
      </c>
      <c r="F13" s="5" t="inlineStr">
        <is>
          <t>Except in connection with the performance of the Parties' obligations under this Agreement, no Party shall use the name or logo of the other Party</t>
        </is>
      </c>
      <c r="G13" s="5" t="inlineStr">
        <is>
          <t>No IP clause. Start2 methodology, programme materials and deliverable ownership are not addressed.</t>
        </is>
      </c>
      <c r="H13" s="5" t="inlineStr">
        <is>
          <t>Insert standard IP clause.</t>
        </is>
      </c>
    </row>
    <row r="14">
      <c r="A14" s="5" t="n">
        <v>13</v>
      </c>
      <c r="B14" s="5" t="inlineStr">
        <is>
          <t>High</t>
        </is>
      </c>
      <c r="C14" s="5" t="inlineStr">
        <is>
          <t>Client: Escalate</t>
        </is>
      </c>
      <c r="D14" s="5" t="inlineStr">
        <is>
          <t>Payment terms beyond 30 days / downstream conditions</t>
        </is>
      </c>
      <c r="E14" s="5" t="inlineStr">
        <is>
          <t>7.1; FAQ page (p. 5, 27)</t>
        </is>
      </c>
      <c r="F14" s="5" t="inlineStr">
        <is>
          <t>Upon successful verification by ESG account manager on the achievement of project's deliverables/milestones</t>
        </is>
      </c>
      <c r="G14" s="5" t="inlineStr">
        <is>
          <t>No payment deadline. The FAQ page, which forms part of the contract, makes claims conditional on the auditor report and on ESG verification of deliverables, with no time limit.</t>
        </is>
      </c>
      <c r="H14" s="5" t="inlineStr">
        <is>
          <t>Add a fixed payment period and a deadline for ESG verification.</t>
        </is>
      </c>
    </row>
    <row r="15">
      <c r="A15" s="5" t="n">
        <v>14</v>
      </c>
      <c r="B15" s="5" t="inlineStr">
        <is>
          <t>High</t>
        </is>
      </c>
      <c r="C15" s="5" t="inlineStr">
        <is>
          <t>Deviant</t>
        </is>
      </c>
      <c r="D15" s="5" t="inlineStr">
        <is>
          <t>SETOFF</t>
        </is>
      </c>
      <c r="E15" s="5" t="inlineStr">
        <is>
          <t>6.7; 12.1 (p. 4, 9)</t>
        </is>
      </c>
      <c r="F15" s="5" t="inlineStr">
        <is>
          <t>then the unutilized amount will be set off against the subsequent claims made by GEA of the Programme Cost</t>
        </is>
      </c>
      <c r="G15" s="5" t="inlineStr">
        <is>
          <t>No general no-set-off clause. The agreement gives ESG an express set-off against Programme Cost and repayment on demand.</t>
        </is>
      </c>
      <c r="H15" s="5" t="inlineStr">
        <is>
          <t>Add the standard clause and limit ESG set-off to amounts found ineligible by the Auditor's Report.</t>
        </is>
      </c>
    </row>
    <row r="16">
      <c r="A16" s="5" t="n">
        <v>15</v>
      </c>
      <c r="B16" s="5" t="inlineStr">
        <is>
          <t>Medium</t>
        </is>
      </c>
      <c r="C16" s="5" t="inlineStr">
        <is>
          <t>Missing</t>
        </is>
      </c>
      <c r="D16" s="5" t="inlineStr">
        <is>
          <t>ABC</t>
        </is>
      </c>
      <c r="E16" s="5" t="inlineStr">
        <is>
          <t>Not in contract</t>
        </is>
      </c>
      <c r="F16" s="5" t="inlineStr">
        <is>
          <t>(clause absent)</t>
        </is>
      </c>
      <c r="G16" s="5" t="inlineStr">
        <is>
          <t>No anti-bribery representation. Counterparty is a government agency, where the playbook says push for it.</t>
        </is>
      </c>
      <c r="H16" s="5" t="inlineStr">
        <is>
          <t>Request once.</t>
        </is>
      </c>
    </row>
    <row r="17">
      <c r="A17" s="5" t="n">
        <v>16</v>
      </c>
      <c r="B17" s="5" t="inlineStr">
        <is>
          <t>Medium</t>
        </is>
      </c>
      <c r="C17" s="5" t="inlineStr">
        <is>
          <t>Partial</t>
        </is>
      </c>
      <c r="D17" s="5" t="inlineStr">
        <is>
          <t>COSTREC</t>
        </is>
      </c>
      <c r="E17" s="5" t="inlineStr">
        <is>
          <t>11.3, 12.1, 12.3 (p. 9-10)</t>
        </is>
      </c>
      <c r="F17" s="5" t="inlineStr">
        <is>
          <t>ESG shall reimburse GEA in full for all costs incurred by GEA in connection with this Agreement until the effective date of termination.</t>
        </is>
      </c>
      <c r="G17" s="5" t="inlineStr">
        <is>
          <t>Covers costs "incurred" only. Costs committed but not yet paid to third parties are not covered. Applies on any termination, which is favourable.</t>
        </is>
      </c>
      <c r="H17" s="5" t="inlineStr">
        <is>
          <t>Add "committed or paid".</t>
        </is>
      </c>
    </row>
    <row r="18">
      <c r="A18" s="5" t="n">
        <v>17</v>
      </c>
      <c r="B18" s="5" t="inlineStr">
        <is>
          <t>Medium</t>
        </is>
      </c>
      <c r="C18" s="5" t="inlineStr">
        <is>
          <t>Execution</t>
        </is>
      </c>
      <c r="D18" s="5" t="inlineStr">
        <is>
          <t>Check 3</t>
        </is>
      </c>
      <c r="E18" s="5" t="inlineStr">
        <is>
          <t>Preamble (p. 1)</t>
        </is>
      </c>
      <c r="F18" s="5" t="inlineStr">
        <is>
          <t>This Collaboration Agreement ("Agreement") is made on 04/11/20019</t>
        </is>
      </c>
      <c r="G18" s="5" t="inlineStr">
        <is>
          <t>Preamble date reads 20019. Commencement Date (11.1) and signatures read 04/11/2019. Project Period end date is not stated.</t>
        </is>
      </c>
      <c r="H18" s="5" t="inlineStr">
        <is>
          <t>Treat as a typographical error; correct in any amendment.</t>
        </is>
      </c>
    </row>
    <row r="19">
      <c r="A19" s="5" t="n">
        <v>18</v>
      </c>
      <c r="B19" s="5" t="inlineStr">
        <is>
          <t>Medium</t>
        </is>
      </c>
      <c r="C19" s="5" t="inlineStr">
        <is>
          <t>Partial</t>
        </is>
      </c>
      <c r="D19" s="5" t="inlineStr">
        <is>
          <t>DISPUTE</t>
        </is>
      </c>
      <c r="E19" s="5" t="inlineStr">
        <is>
          <t>21.1 (p. 11)</t>
        </is>
      </c>
      <c r="F19" s="5" t="inlineStr">
        <is>
          <t>Any dispute between the Parties concerning this Agreement shall be resolved amicably by consultation between the senior management of the Parties.</t>
        </is>
      </c>
      <c r="G19" s="5" t="inlineStr">
        <is>
          <t>Singapore law matches the entity. No arbitration seat, tribunal or court forum.</t>
        </is>
      </c>
      <c r="H19" s="5" t="inlineStr">
        <is>
          <t>Add the SIAC clause.</t>
        </is>
      </c>
    </row>
    <row r="20">
      <c r="A20" s="5" t="n">
        <v>19</v>
      </c>
      <c r="B20" s="5" t="inlineStr">
        <is>
          <t>Medium</t>
        </is>
      </c>
      <c r="C20" s="5" t="inlineStr">
        <is>
          <t>Missing</t>
        </is>
      </c>
      <c r="D20" s="5" t="inlineStr">
        <is>
          <t>ENTIRE</t>
        </is>
      </c>
      <c r="E20" s="5" t="inlineStr">
        <is>
          <t>Not in contract</t>
        </is>
      </c>
      <c r="F20" s="5" t="inlineStr">
        <is>
          <t>(clause absent)</t>
        </is>
      </c>
      <c r="G20" s="5" t="inlineStr">
        <is>
          <t>No entire-agreement or non-reliance clause. The FAQ and the forms are part of the contract but nothing incorporates them.</t>
        </is>
      </c>
      <c r="H20" s="5" t="inlineStr">
        <is>
          <t>Insert standard clause and list incorporated annexes.</t>
        </is>
      </c>
    </row>
    <row r="21">
      <c r="A21" s="5" t="n">
        <v>20</v>
      </c>
      <c r="B21" s="5" t="inlineStr">
        <is>
          <t>Medium</t>
        </is>
      </c>
      <c r="C21" s="5" t="inlineStr">
        <is>
          <t>Deviant</t>
        </is>
      </c>
      <c r="D21" s="5" t="inlineStr">
        <is>
          <t>FM</t>
        </is>
      </c>
      <c r="E21" s="5" t="inlineStr">
        <is>
          <t>12.3 (p. 9-10)</t>
        </is>
      </c>
      <c r="F21" s="5" t="inlineStr">
        <is>
          <t>if such suspension continues for more than 3 months either Party may terminate the Agreement with immediate effect</t>
        </is>
      </c>
      <c r="G21" s="5" t="inlineStr">
        <is>
          <t>Relieves GEA only. Long-stop is 3 months where the standard is 60 days. No financial-obligation exclusion, mitigation duty or good-faith window. Cost recovery on exit is subject to audit.</t>
        </is>
      </c>
      <c r="H21" s="5" t="inlineStr">
        <is>
          <t>Align to standard wording.</t>
        </is>
      </c>
    </row>
    <row r="22">
      <c r="A22" s="5" t="n">
        <v>21</v>
      </c>
      <c r="B22" s="5" t="inlineStr">
        <is>
          <t>Medium</t>
        </is>
      </c>
      <c r="C22" s="5" t="inlineStr">
        <is>
          <t>Missing</t>
        </is>
      </c>
      <c r="D22" s="5" t="inlineStr">
        <is>
          <t>LATEPAY</t>
        </is>
      </c>
      <c r="E22" s="5" t="inlineStr">
        <is>
          <t>Not in contract</t>
        </is>
      </c>
      <c r="F22" s="5" t="inlineStr">
        <is>
          <t>(clause absent)</t>
        </is>
      </c>
      <c r="G22" s="5" t="inlineStr">
        <is>
          <t>No interest or right to suspend when ESG pays late. Combined with the missing payment period this leaves GEA with no remedy.</t>
        </is>
      </c>
      <c r="H22" s="5" t="inlineStr">
        <is>
          <t>Insert, even if the counterparty is a government agency.</t>
        </is>
      </c>
    </row>
    <row r="23">
      <c r="A23" s="5" t="n">
        <v>22</v>
      </c>
      <c r="B23" s="5" t="inlineStr">
        <is>
          <t>Medium</t>
        </is>
      </c>
      <c r="C23" s="5" t="inlineStr">
        <is>
          <t>Client: Conditional</t>
        </is>
      </c>
      <c r="D23" s="5" t="inlineStr">
        <is>
          <t>Outcome-linked performance</t>
        </is>
      </c>
      <c r="E23" s="5" t="inlineStr">
        <is>
          <t>8.2, 8.3, 8.4 (p. 7-8)</t>
        </is>
      </c>
      <c r="F23" s="5" t="inlineStr">
        <is>
          <t>At least 60% of Participants agree that "GIA has provided us with useful new networks and opportunities for business or innovation partnerships"</t>
        </is>
      </c>
      <c r="G23" s="5" t="inlineStr">
        <is>
          <t>Success metrics (financing over SGD 250,000, valuation up 20%, revenue over SGD 250,000, survey agreement) depend on third parties. They decide renewal at ESG's discretion. No money is clawed back on these metrics.</t>
        </is>
      </c>
      <c r="H23" s="5" t="inlineStr">
        <is>
          <t>Accept as reporting and renewal criteria; confirm in writing that no refund attaches.</t>
        </is>
      </c>
    </row>
    <row r="24">
      <c r="A24" s="5" t="n">
        <v>23</v>
      </c>
      <c r="B24" s="5" t="inlineStr">
        <is>
          <t>Medium</t>
        </is>
      </c>
      <c r="C24" s="5" t="inlineStr">
        <is>
          <t>Unclassified clause</t>
        </is>
      </c>
      <c r="D24" s="5" t="inlineStr">
        <is>
          <t>Price control</t>
        </is>
      </c>
      <c r="E24" s="5" t="inlineStr">
        <is>
          <t>9.2 (p. 8)</t>
        </is>
      </c>
      <c r="F24" s="5" t="inlineStr">
        <is>
          <t>Any revision to the Programme Fees must be mutually agreed upon by both ESG and GEA before communicating to the public.</t>
        </is>
      </c>
      <c r="G24" s="5" t="inlineStr">
        <is>
          <t>Participant fees cannot be revised without ESG agreement.</t>
        </is>
      </c>
      <c r="H24" s="5" t="inlineStr">
        <is>
          <t>Accept; note the limitation for renewal.</t>
        </is>
      </c>
    </row>
    <row r="25">
      <c r="A25" s="5" t="n">
        <v>24</v>
      </c>
      <c r="B25" s="5" t="inlineStr">
        <is>
          <t>Medium</t>
        </is>
      </c>
      <c r="C25" s="5" t="inlineStr">
        <is>
          <t>Client: Conditional</t>
        </is>
      </c>
      <c r="D25" s="5" t="inlineStr">
        <is>
          <t>Refund / clawback</t>
        </is>
      </c>
      <c r="E25" s="5" t="inlineStr">
        <is>
          <t>6.7, 12.1 (p. 4, 9)</t>
        </is>
      </c>
      <c r="F25" s="5" t="inlineStr">
        <is>
          <t>may withdraw or cancel all or part of the Funding already disbursed</t>
        </is>
      </c>
      <c r="G25" s="5" t="inlineStr">
        <is>
          <t>Refunds are for unutilised Set-Up Cost and on termination for default, net of costs incurred. Tied to eligibility and default, not outcomes. Open-ended wording ("all or part") needs confirmation that it is net of costs.</t>
        </is>
      </c>
      <c r="H25" s="5" t="inlineStr">
        <is>
          <t>Accept with condition that refunds are net of costs incurred.</t>
        </is>
      </c>
    </row>
    <row r="26">
      <c r="A26" s="5" t="n">
        <v>25</v>
      </c>
      <c r="B26" s="5" t="inlineStr">
        <is>
          <t>Medium</t>
        </is>
      </c>
      <c r="C26" s="5" t="inlineStr">
        <is>
          <t>Client: Conditional</t>
        </is>
      </c>
      <c r="D26" s="5" t="inlineStr">
        <is>
          <t>Revenue contingent on enrolment</t>
        </is>
      </c>
      <c r="E26" s="5" t="inlineStr">
        <is>
          <t>7.2, 9.1 (p. 5, 8)</t>
        </is>
      </c>
      <c r="F26" s="5" t="inlineStr">
        <is>
          <t>"Commencement" shall mean the enrolment by a Participant to a Module and payment of the respective participation fee to GEA</t>
        </is>
      </c>
      <c r="G26" s="5" t="inlineStr">
        <is>
          <t>Programme Cost is earned only per enrolled participant who has paid. No minimum, but nothing is paid if enrolment fails. Fixed set-up costs are covered only by Set-Up Cost, which is audited and refundable.</t>
        </is>
      </c>
      <c r="H26" s="5" t="inlineStr">
        <is>
          <t>Confirm cost recovery on low enrolment; ties to the Annex B shortfall.</t>
        </is>
      </c>
    </row>
    <row r="27">
      <c r="A27" s="5" t="n">
        <v>26</v>
      </c>
      <c r="B27" s="5" t="inlineStr">
        <is>
          <t>Medium</t>
        </is>
      </c>
      <c r="C27" s="5" t="inlineStr">
        <is>
          <t>Missing</t>
        </is>
      </c>
      <c r="D27" s="5" t="inlineStr">
        <is>
          <t>SANCT</t>
        </is>
      </c>
      <c r="E27" s="5" t="inlineStr">
        <is>
          <t>Not in contract</t>
        </is>
      </c>
      <c r="F27" s="5" t="inlineStr">
        <is>
          <t>(clause absent)</t>
        </is>
      </c>
      <c r="G27" s="5" t="inlineStr">
        <is>
          <t>No sanctions or export-control clause for a programme running across Singapore and Germany.</t>
        </is>
      </c>
      <c r="H27" s="5" t="inlineStr">
        <is>
          <t>Insert standard clause.</t>
        </is>
      </c>
    </row>
    <row r="28">
      <c r="A28" s="5" t="n">
        <v>27</v>
      </c>
      <c r="B28" s="5" t="inlineStr">
        <is>
          <t>Medium</t>
        </is>
      </c>
      <c r="C28" s="5" t="inlineStr">
        <is>
          <t>Partial</t>
        </is>
      </c>
      <c r="D28" s="5" t="inlineStr">
        <is>
          <t>SCOPE</t>
        </is>
      </c>
      <c r="E28" s="5" t="inlineStr">
        <is>
          <t>2, 4, Annex A (p. 1-2)</t>
        </is>
      </c>
      <c r="F28" s="5" t="inlineStr">
        <is>
          <t>within the Programme scope and at a reasonable level</t>
        </is>
      </c>
      <c r="G28" s="5" t="inlineStr">
        <is>
          <t>Scope is delegated to Annex A (absent) and is open-ended ("reasonable level"). No exclusions stated.</t>
        </is>
      </c>
      <c r="H28" s="5" t="inlineStr">
        <is>
          <t>State exclusions and attach Annex A.</t>
        </is>
      </c>
    </row>
    <row r="29">
      <c r="A29" s="5" t="n">
        <v>28</v>
      </c>
      <c r="B29" s="5" t="inlineStr">
        <is>
          <t>Medium</t>
        </is>
      </c>
      <c r="C29" s="5" t="inlineStr">
        <is>
          <t>Partial</t>
        </is>
      </c>
      <c r="D29" s="5" t="inlineStr">
        <is>
          <t>TERM</t>
        </is>
      </c>
      <c r="E29" s="5" t="inlineStr">
        <is>
          <t>3, 11.1 (p. 2, 8)</t>
        </is>
      </c>
      <c r="F29" s="5" t="inlineStr">
        <is>
          <t>The Programme will run for a period of two years commencing upon signing the Agreement</t>
        </is>
      </c>
      <c r="G29" s="5" t="inlineStr">
        <is>
          <t>No end date and no mechanism for a delayed start.</t>
        </is>
      </c>
      <c r="H29" s="5" t="inlineStr">
        <is>
          <t>State the end date and a delayed-start rule.</t>
        </is>
      </c>
    </row>
    <row r="30">
      <c r="A30" s="5" t="n">
        <v>29</v>
      </c>
      <c r="B30" s="5" t="inlineStr">
        <is>
          <t>Medium</t>
        </is>
      </c>
      <c r="C30" s="5" t="inlineStr">
        <is>
          <t>Partial</t>
        </is>
      </c>
      <c r="D30" s="5" t="inlineStr">
        <is>
          <t>TERM-CAUSE</t>
        </is>
      </c>
      <c r="E30" s="5" t="inlineStr">
        <is>
          <t>11.2(c), 11.3 (p. 9)</t>
        </is>
      </c>
      <c r="F30" s="5" t="inlineStr">
        <is>
          <t>which if remediable, is not remedied within 30 days of a notice given</t>
        </is>
      </c>
      <c r="G30" s="5" t="inlineStr">
        <is>
          <t>Cure period is 30 days, not 14. Lacks assignment and reputation triggers. Cost reimbursement in 11.3 is helpful.</t>
        </is>
      </c>
      <c r="H30" s="5" t="inlineStr">
        <is>
          <t>Accept 30 days if ESG insists; add payment for work performed.</t>
        </is>
      </c>
    </row>
    <row r="31">
      <c r="A31" s="5" t="n">
        <v>30</v>
      </c>
      <c r="B31" s="5" t="inlineStr">
        <is>
          <t>Medium</t>
        </is>
      </c>
      <c r="C31" s="5" t="inlineStr">
        <is>
          <t>Unclassified clause</t>
        </is>
      </c>
      <c r="D31" s="5" t="inlineStr">
        <is>
          <t>Unfunded in-kind obligation</t>
        </is>
      </c>
      <c r="E31" s="5" t="inlineStr">
        <is>
          <t>4(e) (p. 2)</t>
        </is>
      </c>
      <c r="F31" s="5" t="inlineStr">
        <is>
          <t>providing in-kind contribution through making available office space, office supplies and other facilities for Participants' use in Germany.</t>
        </is>
      </c>
      <c r="G31" s="5" t="inlineStr">
        <is>
          <t>GEA must provide facilities as an in-kind contribution. 6.3(h) funds office expenses, but 6.4(a) and (d) exclude retrofit and indirect cost. The funded boundary is unclear.</t>
        </is>
      </c>
      <c r="H31" s="5" t="inlineStr">
        <is>
          <t>Clarify whether in-kind items are funded or unfunded.</t>
        </is>
      </c>
    </row>
    <row r="32">
      <c r="A32" s="5" t="n">
        <v>31</v>
      </c>
      <c r="B32" s="5" t="inlineStr">
        <is>
          <t>Medium</t>
        </is>
      </c>
      <c r="C32" s="5" t="inlineStr">
        <is>
          <t>Missing</t>
        </is>
      </c>
      <c r="D32" s="5" t="inlineStr">
        <is>
          <t>WARR</t>
        </is>
      </c>
      <c r="E32" s="5" t="inlineStr">
        <is>
          <t>Not in contract</t>
        </is>
      </c>
      <c r="F32" s="5" t="inlineStr">
        <is>
          <t>(clause absent)</t>
        </is>
      </c>
      <c r="G32" s="5" t="inlineStr">
        <is>
          <t>No performance standard for GEA and no client warranty on information accuracy or authority.</t>
        </is>
      </c>
      <c r="H32" s="5" t="inlineStr">
        <is>
          <t>Insert standard clause.</t>
        </is>
      </c>
    </row>
    <row r="33">
      <c r="A33" s="5" t="n">
        <v>32</v>
      </c>
      <c r="B33" s="5" t="inlineStr">
        <is>
          <t>Low</t>
        </is>
      </c>
      <c r="C33" s="5" t="inlineStr">
        <is>
          <t>Execution</t>
        </is>
      </c>
      <c r="D33" s="5" t="inlineStr">
        <is>
          <t>Check 10</t>
        </is>
      </c>
      <c r="E33" s="5" t="inlineStr">
        <is>
          <t>Annex B (p. 14)</t>
        </is>
      </c>
      <c r="F33" s="5" t="inlineStr">
        <is>
          <t>Explanation of Down Payment Usage for 1st year of Scaler8 Program</t>
        </is>
      </c>
      <c r="G33" s="5" t="inlineStr">
        <is>
          <t>Annex B and the Annex A filename say "Scaler8" while the body says "GIA Innovation Launchpad". Naming differs; confirm no carry-over from another deal.</t>
        </is>
      </c>
      <c r="H33" s="5" t="inlineStr">
        <is>
          <t>Confirm programme name.</t>
        </is>
      </c>
    </row>
    <row r="34">
      <c r="A34" s="5" t="n">
        <v>33</v>
      </c>
      <c r="B34" s="5" t="inlineStr">
        <is>
          <t>Low</t>
        </is>
      </c>
      <c r="C34" s="5" t="inlineStr">
        <is>
          <t>Execution</t>
        </is>
      </c>
      <c r="D34" s="5" t="inlineStr">
        <is>
          <t>Check 2</t>
        </is>
      </c>
      <c r="E34" s="5" t="inlineStr">
        <is>
          <t>7.2 (twice), 7.1, 8.3 (p. 5, 8)</t>
        </is>
      </c>
      <c r="F34" s="5" t="inlineStr">
        <is>
          <t>7.2 For the purposes of this Agreement, "Commencement" shall mean</t>
        </is>
      </c>
      <c r="G34" s="5" t="inlineStr">
        <is>
          <t>Two clauses are numbered 7.2. Typos: "competed GIRO form" (7.1), "deemed to be successful at if" (8.3).</t>
        </is>
      </c>
      <c r="H34" s="5" t="inlineStr">
        <is>
          <t>Correct in any amendment.</t>
        </is>
      </c>
    </row>
    <row r="35">
      <c r="A35" s="5" t="n">
        <v>34</v>
      </c>
      <c r="B35" s="5" t="inlineStr">
        <is>
          <t>Low</t>
        </is>
      </c>
      <c r="C35" s="5" t="inlineStr">
        <is>
          <t>Partial</t>
        </is>
      </c>
      <c r="D35" s="5" t="inlineStr">
        <is>
          <t>ESCALATION</t>
        </is>
      </c>
      <c r="E35" s="5" t="inlineStr">
        <is>
          <t>20.1 (p. 11)</t>
        </is>
      </c>
      <c r="F35" s="5" t="inlineStr">
        <is>
          <t>Jonathan LIM Director, Global Innovation Network Division</t>
        </is>
      </c>
      <c r="G35" s="5" t="inlineStr">
        <is>
          <t>Notice contacts exist; no operational contacts.</t>
        </is>
      </c>
      <c r="H35" s="5" t="inlineStr">
        <is>
          <t>Request once.</t>
        </is>
      </c>
    </row>
    <row r="36">
      <c r="A36" s="5" t="n">
        <v>35</v>
      </c>
      <c r="B36" s="5" t="inlineStr">
        <is>
          <t>Low</t>
        </is>
      </c>
      <c r="C36" s="5" t="inlineStr">
        <is>
          <t>Missing</t>
        </is>
      </c>
      <c r="D36" s="5" t="inlineStr">
        <is>
          <t>ESIGN</t>
        </is>
      </c>
      <c r="E36" s="5" t="inlineStr">
        <is>
          <t>Not in contract</t>
        </is>
      </c>
      <c r="F36" s="5" t="inlineStr">
        <is>
          <t>(clause absent)</t>
        </is>
      </c>
      <c r="G36" s="5" t="inlineStr">
        <is>
          <t>No e-signature or counterparts clause; signed in wet ink.</t>
        </is>
      </c>
      <c r="H36" s="5" t="inlineStr">
        <is>
          <t>Add for renewals.</t>
        </is>
      </c>
    </row>
    <row r="37">
      <c r="A37" s="5" t="n">
        <v>36</v>
      </c>
      <c r="B37" s="5" t="inlineStr">
        <is>
          <t>Low</t>
        </is>
      </c>
      <c r="C37" s="5" t="inlineStr">
        <is>
          <t>Client: Accept</t>
        </is>
      </c>
      <c r="D37" s="5" t="inlineStr">
        <is>
          <t>Exclusivity</t>
        </is>
      </c>
      <c r="E37" s="5" t="inlineStr">
        <is>
          <t>16.1 (p. 10)</t>
        </is>
      </c>
      <c r="F37" s="5" t="inlineStr">
        <is>
          <t>This Agreement is non-exclusive and each Party is free to enter into an agreement with any other party</t>
        </is>
      </c>
      <c r="G37" s="5" t="inlineStr">
        <is>
          <t>Affirmatively non-exclusive; favourable.</t>
        </is>
      </c>
      <c r="H37" s="5" t="inlineStr">
        <is>
          <t>Accept.</t>
        </is>
      </c>
    </row>
    <row r="38">
      <c r="A38" s="5" t="n">
        <v>37</v>
      </c>
      <c r="B38" s="5" t="inlineStr">
        <is>
          <t>Low</t>
        </is>
      </c>
      <c r="C38" s="5" t="inlineStr">
        <is>
          <t>Unclassified clause</t>
        </is>
      </c>
      <c r="D38" s="5" t="inlineStr">
        <is>
          <t>Financial control</t>
        </is>
      </c>
      <c r="E38" s="5" t="inlineStr">
        <is>
          <t>10 (p. 8)</t>
        </is>
      </c>
      <c r="F38" s="5" t="inlineStr">
        <is>
          <t>Formalised accounting procedures and controls shall be in accordance with Singapore Financial Reporting Standards.</t>
        </is>
      </c>
      <c r="G38" s="5" t="inlineStr">
        <is>
          <t>Obligation on GEA to keep SFRS-compliant accounts.</t>
        </is>
      </c>
      <c r="H38" s="5" t="inlineStr">
        <is>
          <t>Accept.</t>
        </is>
      </c>
    </row>
    <row r="39">
      <c r="A39" s="5" t="n">
        <v>38</v>
      </c>
      <c r="B39" s="5" t="inlineStr">
        <is>
          <t>Low</t>
        </is>
      </c>
      <c r="C39" s="5" t="inlineStr">
        <is>
          <t>Missing</t>
        </is>
      </c>
      <c r="D39" s="5" t="inlineStr">
        <is>
          <t>NONSOL</t>
        </is>
      </c>
      <c r="E39" s="5" t="inlineStr">
        <is>
          <t>Not in contract</t>
        </is>
      </c>
      <c r="F39" s="5" t="inlineStr">
        <is>
          <t>(clause absent)</t>
        </is>
      </c>
      <c r="G39" s="5" t="inlineStr">
        <is>
          <t>Absent. Participants have direct access to GEA mentors.</t>
        </is>
      </c>
      <c r="H39" s="5" t="inlineStr">
        <is>
          <t>Request once.</t>
        </is>
      </c>
    </row>
    <row r="40">
      <c r="A40" s="5" t="n">
        <v>39</v>
      </c>
      <c r="B40" s="5" t="inlineStr">
        <is>
          <t>Low</t>
        </is>
      </c>
      <c r="C40" s="5" t="inlineStr">
        <is>
          <t>Partial</t>
        </is>
      </c>
      <c r="D40" s="5" t="inlineStr">
        <is>
          <t>NOTICES</t>
        </is>
      </c>
      <c r="E40" s="5" t="inlineStr">
        <is>
          <t>20.1 (p. 11)</t>
        </is>
      </c>
      <c r="F40" s="5" t="inlineStr">
        <is>
          <t>will be deemed received on the date they are delivered personally, or five days after mailing if mailed</t>
        </is>
      </c>
      <c r="G40" s="5" t="inlineStr">
        <is>
          <t>Per-method deemed receipt present but no postal addresses and no international mail rule.</t>
        </is>
      </c>
      <c r="H40" s="5" t="inlineStr">
        <is>
          <t>Add addresses.</t>
        </is>
      </c>
    </row>
    <row r="41">
      <c r="A41" s="5" t="n">
        <v>40</v>
      </c>
      <c r="B41" s="5" t="inlineStr">
        <is>
          <t>Low</t>
        </is>
      </c>
      <c r="C41" s="5" t="inlineStr">
        <is>
          <t>Missing</t>
        </is>
      </c>
      <c r="D41" s="5" t="inlineStr">
        <is>
          <t>PUBLICITY</t>
        </is>
      </c>
      <c r="E41" s="5" t="inlineStr">
        <is>
          <t>15.1 (p. 10)</t>
        </is>
      </c>
      <c r="F41" s="5" t="inlineStr">
        <is>
          <t>no Party shall use the name or logo of the other Party for any other purpose, without the prior written consent of the other Party.</t>
        </is>
      </c>
      <c r="G41" s="5" t="inlineStr">
        <is>
          <t>Name and logo use is restricted; no case-study right.</t>
        </is>
      </c>
      <c r="H41" s="5" t="inlineStr">
        <is>
          <t>Request once or accept the restriction.</t>
        </is>
      </c>
    </row>
    <row r="42">
      <c r="A42" s="5" t="n">
        <v>41</v>
      </c>
      <c r="B42" s="5" t="inlineStr">
        <is>
          <t>Low</t>
        </is>
      </c>
      <c r="C42" s="5" t="inlineStr">
        <is>
          <t>Partial</t>
        </is>
      </c>
      <c r="D42" s="5" t="inlineStr">
        <is>
          <t>RECITALS</t>
        </is>
      </c>
      <c r="E42" s="5" t="inlineStr">
        <is>
          <t>Whereas A, B (p. 1)</t>
        </is>
      </c>
      <c r="F42" s="5" t="inlineStr">
        <is>
          <t>The Programme will target Singapore-based startups and Singapore-based small- and medium-sized enterprises (SMEs)</t>
        </is>
      </c>
      <c r="G42" s="5" t="inlineStr">
        <is>
          <t>Recital B restates scope detail also in clause 4.</t>
        </is>
      </c>
      <c r="H42" s="5" t="inlineStr">
        <is>
          <t>Trim or leave.</t>
        </is>
      </c>
    </row>
    <row r="43">
      <c r="A43" s="5" t="n">
        <v>42</v>
      </c>
      <c r="B43" s="5" t="inlineStr">
        <is>
          <t>Low</t>
        </is>
      </c>
      <c r="C43" s="5" t="inlineStr">
        <is>
          <t>Missing</t>
        </is>
      </c>
      <c r="D43" s="5" t="inlineStr">
        <is>
          <t>SEVERABILITY</t>
        </is>
      </c>
      <c r="E43" s="5" t="inlineStr">
        <is>
          <t>Not in contract</t>
        </is>
      </c>
      <c r="F43" s="5" t="inlineStr">
        <is>
          <t>(clause absent)</t>
        </is>
      </c>
      <c r="G43" s="5" t="inlineStr">
        <is>
          <t>Absent.</t>
        </is>
      </c>
      <c r="H43" s="5" t="inlineStr">
        <is>
          <t>Request once.</t>
        </is>
      </c>
    </row>
    <row r="44">
      <c r="A44" s="5" t="n">
        <v>43</v>
      </c>
      <c r="B44" s="5" t="inlineStr">
        <is>
          <t>Low</t>
        </is>
      </c>
      <c r="C44" s="5" t="inlineStr">
        <is>
          <t>Partial</t>
        </is>
      </c>
      <c r="D44" s="5" t="inlineStr">
        <is>
          <t>SURV</t>
        </is>
      </c>
      <c r="E44" s="5" t="inlineStr">
        <is>
          <t>11.4, 11.5 (p. 9)</t>
        </is>
      </c>
      <c r="F44" s="5" t="inlineStr">
        <is>
          <t>All obligations, which by their nature are intended to survive termination, shall survive termination of this Agreement.</t>
        </is>
      </c>
      <c r="G44" s="5" t="inlineStr">
        <is>
          <t>Generic survival only. No express list.</t>
        </is>
      </c>
      <c r="H44" s="5" t="inlineStr">
        <is>
          <t>Add the standard list.</t>
        </is>
      </c>
    </row>
    <row r="45">
      <c r="A45" s="5" t="n">
        <v>44</v>
      </c>
      <c r="B45" s="5" t="inlineStr">
        <is>
          <t>Low</t>
        </is>
      </c>
      <c r="C45" s="5" t="inlineStr">
        <is>
          <t>Missing</t>
        </is>
      </c>
      <c r="D45" s="5" t="inlineStr">
        <is>
          <t>TERM-CONV</t>
        </is>
      </c>
      <c r="E45" s="5" t="inlineStr">
        <is>
          <t>11.1 (p. 8)</t>
        </is>
      </c>
      <c r="F45" s="5" t="inlineStr">
        <is>
          <t>unless sooner terminated by mutual agreement between the Parties</t>
        </is>
      </c>
      <c r="G45" s="5" t="inlineStr">
        <is>
          <t>Termination without cause only by mutual agreement.</t>
        </is>
      </c>
      <c r="H45" s="5" t="inlineStr">
        <is>
          <t>Request once.</t>
        </is>
      </c>
    </row>
    <row r="46">
      <c r="A46" s="5" t="n">
        <v>45</v>
      </c>
      <c r="B46" s="5" t="inlineStr">
        <is>
          <t>Low</t>
        </is>
      </c>
      <c r="C46" s="5" t="inlineStr">
        <is>
          <t>Unclassified clause</t>
        </is>
      </c>
      <c r="D46" s="5" t="inlineStr">
        <is>
          <t>Third-party rights exclusion</t>
        </is>
      </c>
      <c r="E46" s="5" t="inlineStr">
        <is>
          <t>19.1 (p. 11)</t>
        </is>
      </c>
      <c r="F46" s="5" t="inlineStr">
        <is>
          <t>a person or entity who is not a party to this Agreement shall have no right under the Contract (Rights of Third Parties) Act</t>
        </is>
      </c>
      <c r="G46" s="5" t="inlineStr">
        <is>
          <t>Standard Singapore boilerplate; benign.</t>
        </is>
      </c>
      <c r="H46" s="5" t="inlineStr">
        <is>
          <t>Accept. Candidate for an optional row in the standard.</t>
        </is>
      </c>
    </row>
  </sheetData>
  <autoFilter ref="A1:H46"/>
  <conditionalFormatting sqref="B2:B300">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dataValidations count="2">
    <dataValidation sqref="B2:B300" showDropDown="0" showInputMessage="0" showErrorMessage="0" allowBlank="1" type="list">
      <formula1>"Critical,High,Medium,Low"</formula1>
    </dataValidation>
    <dataValidation sqref="C2:C300" showDropDown="0" showInputMessage="0" showErrorMessage="0" allowBlank="1" type="list">
      <formula1>"Missing,Partial,Deviant,Client: Reject,Client: Escalate,Client: Conditional,Client: Accept,Unclassified clause,Commercial,Execution,Other"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2" customWidth="1" min="3" max="3"/>
    <col width="14" customWidth="1" min="4" max="4"/>
    <col width="26" customWidth="1" min="5" max="5"/>
    <col width="12" customWidth="1" min="6" max="6"/>
    <col width="70" customWidth="1" min="7" max="7"/>
  </cols>
  <sheetData>
    <row r="1">
      <c r="A1" s="1" t="inlineStr">
        <is>
          <t>ID</t>
        </is>
      </c>
      <c r="B1" s="1" t="inlineStr">
        <is>
          <t>Clause</t>
        </is>
      </c>
      <c r="C1" s="1" t="inlineStr">
        <is>
          <t>Base severity</t>
        </is>
      </c>
      <c r="D1" s="1" t="inlineStr">
        <is>
          <t>Verdict</t>
        </is>
      </c>
      <c r="E1" s="1" t="inlineStr">
        <is>
          <t>Where</t>
        </is>
      </c>
      <c r="F1" s="1" t="inlineStr">
        <is>
          <t>Severity</t>
        </is>
      </c>
      <c r="G1" s="1" t="inlineStr">
        <is>
          <t>Note</t>
        </is>
      </c>
    </row>
    <row r="2">
      <c r="A2" s="4" t="inlineStr">
        <is>
          <t>PARTIES</t>
        </is>
      </c>
      <c r="B2" s="5" t="inlineStr">
        <is>
          <t>Contracting entity &amp; jurisdiction</t>
        </is>
      </c>
      <c r="C2" s="5" t="inlineStr">
        <is>
          <t>Critical</t>
        </is>
      </c>
      <c r="D2" s="5" t="inlineStr">
        <is>
          <t>Conforming</t>
        </is>
      </c>
      <c r="E2" s="5" t="inlineStr">
        <is>
          <t>Parties; p1</t>
        </is>
      </c>
      <c r="F2" s="5">
        <f>IF(D2="","",IF(OR(D2="Conforming",D2="N/A",C2="n/a"),"-",IF(D2="Partial",INDEX({"Low","Low","Medium","High"},MATCH(C2,{"Low","Medium","High","Critical"},0)),C2)))</f>
        <v/>
      </c>
      <c r="G2" s="5" t="inlineStr">
        <is>
          <t>Both entities, addresses; GEA UEN given. ESG UEN/entity type not stated (statutory board).</t>
        </is>
      </c>
    </row>
    <row r="3">
      <c r="A3" s="4" t="inlineStr">
        <is>
          <t>RECITALS</t>
        </is>
      </c>
      <c r="B3" s="5" t="inlineStr">
        <is>
          <t>Recitals</t>
        </is>
      </c>
      <c r="C3" s="5" t="inlineStr">
        <is>
          <t>Low</t>
        </is>
      </c>
      <c r="D3" s="5" t="inlineStr">
        <is>
          <t>Partial</t>
        </is>
      </c>
      <c r="E3" s="5" t="inlineStr">
        <is>
          <t>Whereas A, B; p1</t>
        </is>
      </c>
      <c r="F3" s="5">
        <f>IF(D3="","",IF(OR(D3="Conforming",D3="N/A",C3="n/a"),"-",IF(D3="Partial",INDEX({"Low","Low","Medium","High"},MATCH(C3,{"Low","Medium","High","Critical"},0)),C3)))</f>
        <v/>
      </c>
      <c r="G3" s="5" t="inlineStr">
        <is>
          <t>Recital B restates scope detail (office space, secretarial support, travel) that overlaps clause 4.</t>
        </is>
      </c>
    </row>
    <row r="4">
      <c r="A4" s="4" t="inlineStr">
        <is>
          <t>SCOPE</t>
        </is>
      </c>
      <c r="B4" s="5" t="inlineStr">
        <is>
          <t>Defined scope of service (Appendix)</t>
        </is>
      </c>
      <c r="C4" s="5" t="inlineStr">
        <is>
          <t>High</t>
        </is>
      </c>
      <c r="D4" s="5" t="inlineStr">
        <is>
          <t>Partial</t>
        </is>
      </c>
      <c r="E4" s="5" t="inlineStr">
        <is>
          <t>2, 4, Annex A; p1-2, 13</t>
        </is>
      </c>
      <c r="F4" s="5">
        <f>IF(D4="","",IF(OR(D4="Conforming",D4="N/A",C4="n/a"),"-",IF(D4="Partial",INDEX({"Low","Low","Medium","High"},MATCH(C4,{"Low","Medium","High","Critical"},0)),C4)))</f>
        <v/>
      </c>
      <c r="G4" s="5" t="inlineStr">
        <is>
          <t>Scope defined by Annex A, which is not in the copy; no exclusions list; 4(d) "reasonable level" is vague.</t>
        </is>
      </c>
    </row>
    <row r="5">
      <c r="A5" s="4" t="inlineStr">
        <is>
          <t>TERM</t>
        </is>
      </c>
      <c r="B5" s="5" t="inlineStr">
        <is>
          <t>Term</t>
        </is>
      </c>
      <c r="C5" s="5" t="inlineStr">
        <is>
          <t>High</t>
        </is>
      </c>
      <c r="D5" s="5" t="inlineStr">
        <is>
          <t>Partial</t>
        </is>
      </c>
      <c r="E5" s="5" t="inlineStr">
        <is>
          <t>3, 11.1; p2, 8</t>
        </is>
      </c>
      <c r="F5" s="5">
        <f>IF(D5="","",IF(OR(D5="Conforming",D5="N/A",C5="n/a"),"-",IF(D5="Partial",INDEX({"Low","Low","Medium","High"},MATCH(C5,{"Low","Medium","High","Critical"},0)),C5)))</f>
        <v/>
      </c>
      <c r="G5" s="5" t="inlineStr">
        <is>
          <t>Two-year Project Period from signing; no end date stated; no mechanism if programme cannot start on time.</t>
        </is>
      </c>
    </row>
    <row r="6">
      <c r="A6" s="4" t="inlineStr">
        <is>
          <t>FEE</t>
        </is>
      </c>
      <c r="B6" s="5" t="inlineStr">
        <is>
          <t>Fee, currency, payment trigger</t>
        </is>
      </c>
      <c r="C6" s="5" t="inlineStr">
        <is>
          <t>Critical</t>
        </is>
      </c>
      <c r="D6" s="5" t="inlineStr">
        <is>
          <t>Partial</t>
        </is>
      </c>
      <c r="E6" s="5" t="inlineStr">
        <is>
          <t>5, 6, 7, 9; p3-8</t>
        </is>
      </c>
      <c r="F6" s="5">
        <f>IF(D6="","",IF(OR(D6="Conforming",D6="N/A",C6="n/a"),"-",IF(D6="Partial",INDEX({"Low","Low","Medium","High"},MATCH(C6,{"Low","Medium","High","Critical"},0)),C6)))</f>
        <v/>
      </c>
      <c r="G6" s="5" t="inlineStr">
        <is>
          <t>Funding is a ceiling ("up to"); tax wording ambiguous; no gross-up; no payment due date after a claim.</t>
        </is>
      </c>
    </row>
    <row r="7">
      <c r="A7" s="4" t="inlineStr">
        <is>
          <t>SETOFF</t>
        </is>
      </c>
      <c r="B7" s="5" t="inlineStr">
        <is>
          <t>No set-off</t>
        </is>
      </c>
      <c r="C7" s="5" t="inlineStr">
        <is>
          <t>High</t>
        </is>
      </c>
      <c r="D7" s="5" t="inlineStr">
        <is>
          <t>Deviant</t>
        </is>
      </c>
      <c r="E7" s="5" t="inlineStr">
        <is>
          <t>6.7, 12.1; p4, 9</t>
        </is>
      </c>
      <c r="F7" s="5">
        <f>IF(D7="","",IF(OR(D7="Conforming",D7="N/A",C7="n/a"),"-",IF(D7="Partial",INDEX({"Low","Low","Medium","High"},MATCH(C7,{"Low","Medium","High","Critical"},0)),C7)))</f>
        <v/>
      </c>
      <c r="G7" s="5" t="inlineStr">
        <is>
          <t>Express set-off of unutilised Set-Up Cost against Programme Cost claims; repayment on demand; no general no-set-off.</t>
        </is>
      </c>
    </row>
    <row r="8">
      <c r="A8" s="4" t="inlineStr">
        <is>
          <t>LATEPAY</t>
        </is>
      </c>
      <c r="B8" s="5" t="inlineStr">
        <is>
          <t>Late payment: interest and right to suspend</t>
        </is>
      </c>
      <c r="C8" s="5" t="inlineStr">
        <is>
          <t>Medium</t>
        </is>
      </c>
      <c r="D8" s="5" t="inlineStr">
        <is>
          <t>Missing</t>
        </is>
      </c>
      <c r="E8" s="5" t="inlineStr">
        <is>
          <t>-</t>
        </is>
      </c>
      <c r="F8" s="5">
        <f>IF(D8="","",IF(OR(D8="Conforming",D8="N/A",C8="n/a"),"-",IF(D8="Partial",INDEX({"Low","Low","Medium","High"},MATCH(C8,{"Low","Medium","High","Critical"},0)),C8)))</f>
        <v/>
      </c>
      <c r="G8" s="5" t="inlineStr">
        <is>
          <t>No payment period, interest or suspension right.</t>
        </is>
      </c>
    </row>
    <row r="9">
      <c r="A9" s="4" t="inlineStr">
        <is>
          <t>CONF</t>
        </is>
      </c>
      <c r="B9" s="5" t="inlineStr">
        <is>
          <t>Confidentiality</t>
        </is>
      </c>
      <c r="C9" s="5" t="inlineStr">
        <is>
          <t>High</t>
        </is>
      </c>
      <c r="D9" s="5" t="inlineStr">
        <is>
          <t>Deviant</t>
        </is>
      </c>
      <c r="E9" s="5" t="inlineStr">
        <is>
          <t>13.1; p10</t>
        </is>
      </c>
      <c r="F9" s="5">
        <f>IF(D9="","",IF(OR(D9="Conforming",D9="N/A",C9="n/a"),"-",IF(D9="Partial",INDEX({"Low","Low","Medium","High"},MATCH(C9,{"Low","Medium","High","Critical"},0)),C9)))</f>
        <v/>
      </c>
      <c r="G9" s="5" t="inlineStr">
        <is>
          <t>One-way (GEA only); no duty on ESG; no carve-outs; no protection for Start2 methodology.</t>
        </is>
      </c>
    </row>
    <row r="10">
      <c r="A10" s="4" t="inlineStr">
        <is>
          <t>ASSIGN</t>
        </is>
      </c>
      <c r="B10" s="5" t="inlineStr">
        <is>
          <t>Assignment restriction</t>
        </is>
      </c>
      <c r="C10" s="5" t="inlineStr">
        <is>
          <t>High</t>
        </is>
      </c>
      <c r="D10" s="5" t="inlineStr">
        <is>
          <t>Deviant</t>
        </is>
      </c>
      <c r="E10" s="5" t="inlineStr">
        <is>
          <t>18.1; p10-11</t>
        </is>
      </c>
      <c r="F10" s="5">
        <f>IF(D10="","",IF(OR(D10="Conforming",D10="N/A",C10="n/a"),"-",IF(D10="Partial",INDEX({"Low","Low","Medium","High"},MATCH(C10,{"Low","Medium","High","Critical"},0)),C10)))</f>
        <v/>
      </c>
      <c r="G10" s="5" t="inlineStr">
        <is>
          <t>Mutual restriction present; no carve-out for mentors/experts; attempts are "null and void".</t>
        </is>
      </c>
    </row>
    <row r="11">
      <c r="A11" s="4" t="inlineStr">
        <is>
          <t>INDCON</t>
        </is>
      </c>
      <c r="B11" s="5" t="inlineStr">
        <is>
          <t>Independent contractor / no agency or partnership</t>
        </is>
      </c>
      <c r="C11" s="5" t="inlineStr">
        <is>
          <t>Medium</t>
        </is>
      </c>
      <c r="D11" s="5" t="inlineStr">
        <is>
          <t>Conforming</t>
        </is>
      </c>
      <c r="E11" s="5" t="inlineStr">
        <is>
          <t>14.1; p10</t>
        </is>
      </c>
      <c r="F11" s="5">
        <f>IF(D11="","",IF(OR(D11="Conforming",D11="N/A",C11="n/a"),"-",IF(D11="Partial",INDEX({"Low","Low","Medium","High"},MATCH(C11,{"Low","Medium","High","Critical"},0)),C11)))</f>
        <v/>
      </c>
      <c r="G11" s="5" t="inlineStr">
        <is>
          <t>No partnership, joint venture or agency; no authority to bind.</t>
        </is>
      </c>
    </row>
    <row r="12">
      <c r="A12" s="4" t="inlineStr">
        <is>
          <t>NOTICES</t>
        </is>
      </c>
      <c r="B12" s="5" t="inlineStr">
        <is>
          <t>Notices</t>
        </is>
      </c>
      <c r="C12" s="5" t="inlineStr">
        <is>
          <t>Low</t>
        </is>
      </c>
      <c r="D12" s="5" t="inlineStr">
        <is>
          <t>Partial</t>
        </is>
      </c>
      <c r="E12" s="5" t="inlineStr">
        <is>
          <t>20.1; p11</t>
        </is>
      </c>
      <c r="F12" s="5">
        <f>IF(D12="","",IF(OR(D12="Conforming",D12="N/A",C12="n/a"),"-",IF(D12="Partial",INDEX({"Low","Low","Medium","High"},MATCH(C12,{"Low","Medium","High","Critical"},0)),C12)))</f>
        <v/>
      </c>
      <c r="G12" s="5" t="inlineStr">
        <is>
          <t>Writing, deemed receipt by method and named contacts with email; no postal addresses; no registered-mail/international split.</t>
        </is>
      </c>
    </row>
    <row r="13">
      <c r="A13" s="4" t="inlineStr">
        <is>
          <t>AMEND</t>
        </is>
      </c>
      <c r="B13" s="5" t="inlineStr">
        <is>
          <t>Amendment</t>
        </is>
      </c>
      <c r="C13" s="5" t="inlineStr">
        <is>
          <t>Medium</t>
        </is>
      </c>
      <c r="D13" s="5" t="inlineStr">
        <is>
          <t>Conforming</t>
        </is>
      </c>
      <c r="E13" s="5" t="inlineStr">
        <is>
          <t>17.1; p10</t>
        </is>
      </c>
      <c r="F13" s="5">
        <f>IF(D13="","",IF(OR(D13="Conforming",D13="N/A",C13="n/a"),"-",IF(D13="Partial",INDEX({"Low","Low","Medium","High"},MATCH(C13,{"Low","Medium","High","Critical"},0)),C13)))</f>
        <v/>
      </c>
      <c r="G13" s="5" t="inlineStr">
        <is>
          <t>Written variation signed by authorised representatives.</t>
        </is>
      </c>
    </row>
    <row r="14">
      <c r="A14" s="4" t="inlineStr">
        <is>
          <t>TERM-CAUSE</t>
        </is>
      </c>
      <c r="B14" s="5" t="inlineStr">
        <is>
          <t>Termination</t>
        </is>
      </c>
      <c r="C14" s="5" t="inlineStr">
        <is>
          <t>High</t>
        </is>
      </c>
      <c r="D14" s="5" t="inlineStr">
        <is>
          <t>Partial</t>
        </is>
      </c>
      <c r="E14" s="5" t="inlineStr">
        <is>
          <t>11.2, 11.3; p9</t>
        </is>
      </c>
      <c r="F14" s="5">
        <f>IF(D14="","",IF(OR(D14="Conforming",D14="N/A",C14="n/a"),"-",IF(D14="Partial",INDEX({"Low","Low","Medium","High"},MATCH(C14,{"Low","Medium","High","Critical"},0)),C14)))</f>
        <v/>
      </c>
      <c r="G14" s="5" t="inlineStr">
        <is>
          <t>Cure period 30 days (standard 14); no assignment or reputation triggers; 11.3 reimburses costs incurred.</t>
        </is>
      </c>
    </row>
    <row r="15">
      <c r="A15" s="4" t="inlineStr">
        <is>
          <t>NOCOST</t>
        </is>
      </c>
      <c r="B15" s="5" t="inlineStr">
        <is>
          <t>No cost committed before payment received</t>
        </is>
      </c>
      <c r="C15" s="5" t="inlineStr">
        <is>
          <t>n/a</t>
        </is>
      </c>
      <c r="D15" s="5" t="inlineStr">
        <is>
          <t>N/A</t>
        </is>
      </c>
      <c r="E15" s="5" t="inlineStr">
        <is>
          <t>-</t>
        </is>
      </c>
      <c r="F15" s="5">
        <f>IF(D15="","",IF(OR(D15="Conforming",D15="N/A",C15="n/a"),"-",IF(D15="Partial",INDEX({"Low","Low","Medium","High"},MATCH(C15,{"Low","Medium","High","Critical"},0)),C15)))</f>
        <v/>
      </c>
      <c r="G15" s="5" t="inlineStr">
        <is>
          <t>Internal rule.</t>
        </is>
      </c>
    </row>
    <row r="16">
      <c r="A16" s="4" t="inlineStr">
        <is>
          <t>COSTREC</t>
        </is>
      </c>
      <c r="B16" s="5" t="inlineStr">
        <is>
          <t>Cost recovery on cancellation</t>
        </is>
      </c>
      <c r="C16" s="5" t="inlineStr">
        <is>
          <t>High</t>
        </is>
      </c>
      <c r="D16" s="5" t="inlineStr">
        <is>
          <t>Partial</t>
        </is>
      </c>
      <c r="E16" s="5" t="inlineStr">
        <is>
          <t>11.3, 12.1, 12.3; p9-10</t>
        </is>
      </c>
      <c r="F16" s="5">
        <f>IF(D16="","",IF(OR(D16="Conforming",D16="N/A",C16="n/a"),"-",IF(D16="Partial",INDEX({"Low","Low","Medium","High"},MATCH(C16,{"Low","Medium","High","Critical"},0)),C16)))</f>
        <v/>
      </c>
      <c r="G16" s="5" t="inlineStr">
        <is>
          <t>Reimburses costs "incurred" only, not "committed"; ESG may also withdraw funding disbursed (net of costs).</t>
        </is>
      </c>
    </row>
    <row r="17">
      <c r="A17" s="4" t="inlineStr">
        <is>
          <t>WARR</t>
        </is>
      </c>
      <c r="B17" s="5" t="inlineStr">
        <is>
          <t>Warranties</t>
        </is>
      </c>
      <c r="C17" s="5" t="inlineStr">
        <is>
          <t>Medium</t>
        </is>
      </c>
      <c r="D17" s="5" t="inlineStr">
        <is>
          <t>Missing</t>
        </is>
      </c>
      <c r="E17" s="5" t="inlineStr">
        <is>
          <t>-</t>
        </is>
      </c>
      <c r="F17" s="5">
        <f>IF(D17="","",IF(OR(D17="Conforming",D17="N/A",C17="n/a"),"-",IF(D17="Partial",INDEX({"Low","Low","Medium","High"},MATCH(C17,{"Low","Medium","High","Critical"},0)),C17)))</f>
        <v/>
      </c>
      <c r="G17" s="5" t="inlineStr">
        <is>
          <t>No skill-and-care warranty and no client accuracy/authority warranty.</t>
        </is>
      </c>
    </row>
    <row r="18">
      <c r="A18" s="4" t="inlineStr">
        <is>
          <t>INDEM</t>
        </is>
      </c>
      <c r="B18" s="5" t="inlineStr">
        <is>
          <t>Indemnity</t>
        </is>
      </c>
      <c r="C18" s="5" t="inlineStr">
        <is>
          <t>High</t>
        </is>
      </c>
      <c r="D18" s="5" t="inlineStr">
        <is>
          <t>Missing</t>
        </is>
      </c>
      <c r="E18" s="5" t="inlineStr">
        <is>
          <t>-</t>
        </is>
      </c>
      <c r="F18" s="5">
        <f>IF(D18="","",IF(OR(D18="Conforming",D18="N/A",C18="n/a"),"-",IF(D18="Partial",INDEX({"Low","Low","Medium","High"},MATCH(C18,{"Low","Medium","High","Critical"},0)),C18)))</f>
        <v/>
      </c>
      <c r="G18" s="5" t="inlineStr">
        <is>
          <t>No indemnity either way; no client indemnity for startup/participant claims.</t>
        </is>
      </c>
    </row>
    <row r="19">
      <c r="A19" s="4" t="inlineStr">
        <is>
          <t>LOL</t>
        </is>
      </c>
      <c r="B19" s="5" t="inlineStr">
        <is>
          <t>Limitation of liability</t>
        </is>
      </c>
      <c r="C19" s="5" t="inlineStr">
        <is>
          <t>Critical</t>
        </is>
      </c>
      <c r="D19" s="5" t="inlineStr">
        <is>
          <t>Missing</t>
        </is>
      </c>
      <c r="E19" s="5" t="inlineStr">
        <is>
          <t>-</t>
        </is>
      </c>
      <c r="F19" s="5">
        <f>IF(D19="","",IF(OR(D19="Conforming",D19="N/A",C19="n/a"),"-",IF(D19="Partial",INDEX({"Low","Low","Medium","High"},MATCH(C19,{"Low","Medium","High","Critical"},0)),C19)))</f>
        <v/>
      </c>
      <c r="G19" s="5" t="inlineStr">
        <is>
          <t>No exclusion of indirect loss and no cap.</t>
        </is>
      </c>
    </row>
    <row r="20">
      <c r="A20" s="4" t="inlineStr">
        <is>
          <t>FM</t>
        </is>
      </c>
      <c r="B20" s="5" t="inlineStr">
        <is>
          <t>Force majeure</t>
        </is>
      </c>
      <c r="C20" s="5" t="inlineStr">
        <is>
          <t>Medium</t>
        </is>
      </c>
      <c r="D20" s="5" t="inlineStr">
        <is>
          <t>Deviant</t>
        </is>
      </c>
      <c r="E20" s="5" t="inlineStr">
        <is>
          <t>12.3; p9-10</t>
        </is>
      </c>
      <c r="F20" s="5">
        <f>IF(D20="","",IF(OR(D20="Conforming",D20="N/A",C20="n/a"),"-",IF(D20="Partial",INDEX({"Low","Low","Medium","High"},MATCH(C20,{"Low","Medium","High","Critical"},0)),C20)))</f>
        <v/>
      </c>
      <c r="G20" s="5" t="inlineStr">
        <is>
          <t>Relieves GEA only; long-stop 3 months (standard 60 days); no financial-obligation exclusion, mitigation duty or good-faith window.</t>
        </is>
      </c>
    </row>
    <row r="21">
      <c r="A21" s="4" t="inlineStr">
        <is>
          <t>SANCT</t>
        </is>
      </c>
      <c r="B21" s="5" t="inlineStr">
        <is>
          <t>Compliance with laws / sanctions</t>
        </is>
      </c>
      <c r="C21" s="5" t="inlineStr">
        <is>
          <t>Medium</t>
        </is>
      </c>
      <c r="D21" s="5" t="inlineStr">
        <is>
          <t>Missing</t>
        </is>
      </c>
      <c r="E21" s="5" t="inlineStr">
        <is>
          <t>-</t>
        </is>
      </c>
      <c r="F21" s="5">
        <f>IF(D21="","",IF(OR(D21="Conforming",D21="N/A",C21="n/a"),"-",IF(D21="Partial",INDEX({"Low","Low","Medium","High"},MATCH(C21,{"Low","Medium","High","Critical"},0)),C21)))</f>
        <v/>
      </c>
      <c r="G21" s="5" t="inlineStr">
        <is>
          <t>No sanctions or export-control clause.</t>
        </is>
      </c>
    </row>
    <row r="22">
      <c r="A22" s="4" t="inlineStr">
        <is>
          <t>IP</t>
        </is>
      </c>
      <c r="B22" s="5" t="inlineStr">
        <is>
          <t>Intellectual property (standalone clause)</t>
        </is>
      </c>
      <c r="C22" s="5" t="inlineStr">
        <is>
          <t>High</t>
        </is>
      </c>
      <c r="D22" s="5" t="inlineStr">
        <is>
          <t>Missing</t>
        </is>
      </c>
      <c r="E22" s="5" t="inlineStr">
        <is>
          <t>15.1 only; p10</t>
        </is>
      </c>
      <c r="F22" s="5">
        <f>IF(D22="","",IF(OR(D22="Conforming",D22="N/A",C22="n/a"),"-",IF(D22="Partial",INDEX({"Low","Low","Medium","High"},MATCH(C22,{"Low","Medium","High","Critical"},0)),C22)))</f>
        <v/>
      </c>
      <c r="G22" s="5" t="inlineStr">
        <is>
          <t>No IP clause. Only a name-and-logo clause. Methodology and deliverable ownership are silent.</t>
        </is>
      </c>
    </row>
    <row r="23">
      <c r="A23" s="4" t="inlineStr">
        <is>
          <t>DP</t>
        </is>
      </c>
      <c r="B23" s="5" t="inlineStr">
        <is>
          <t>Data protection</t>
        </is>
      </c>
      <c r="C23" s="5" t="inlineStr">
        <is>
          <t>High</t>
        </is>
      </c>
      <c r="D23" s="5" t="inlineStr">
        <is>
          <t>Missing</t>
        </is>
      </c>
      <c r="E23" s="5" t="inlineStr">
        <is>
          <t>8.1 only; p7</t>
        </is>
      </c>
      <c r="F23" s="5">
        <f>IF(D23="","",IF(OR(D23="Conforming",D23="N/A",C23="n/a"),"-",IF(D23="Partial",INDEX({"Low","Low","Medium","High"},MATCH(C23,{"Low","Medium","High","Critical"},0)),C23)))</f>
        <v/>
      </c>
      <c r="G23" s="5" t="inlineStr">
        <is>
          <t>No data protection clause although GEA collects and shares participant data with ESG.</t>
        </is>
      </c>
    </row>
    <row r="24">
      <c r="A24" s="4" t="inlineStr">
        <is>
          <t>LANG</t>
        </is>
      </c>
      <c r="B24" s="5" t="inlineStr">
        <is>
          <t>Governing language of the agreement</t>
        </is>
      </c>
      <c r="C24" s="5" t="inlineStr">
        <is>
          <t>Medium</t>
        </is>
      </c>
      <c r="D24" s="5" t="inlineStr">
        <is>
          <t>N/A</t>
        </is>
      </c>
      <c r="E24" s="5" t="inlineStr">
        <is>
          <t>-</t>
        </is>
      </c>
      <c r="F24" s="5">
        <f>IF(D24="","",IF(OR(D24="Conforming",D24="N/A",C24="n/a"),"-",IF(D24="Partial",INDEX({"Low","Low","Medium","High"},MATCH(C24,{"Low","Medium","High","Critical"},0)),C24)))</f>
        <v/>
      </c>
      <c r="G24" s="5" t="inlineStr">
        <is>
          <t>Monolingual English.</t>
        </is>
      </c>
    </row>
    <row r="25">
      <c r="A25" s="4" t="inlineStr">
        <is>
          <t>DISPUTE</t>
        </is>
      </c>
      <c r="B25" s="5" t="inlineStr">
        <is>
          <t>Governing law &amp; dispute resolution</t>
        </is>
      </c>
      <c r="C25" s="5" t="inlineStr">
        <is>
          <t>High</t>
        </is>
      </c>
      <c r="D25" s="5" t="inlineStr">
        <is>
          <t>Partial</t>
        </is>
      </c>
      <c r="E25" s="5" t="inlineStr">
        <is>
          <t>21.1; p11</t>
        </is>
      </c>
      <c r="F25" s="5">
        <f>IF(D25="","",IF(OR(D25="Conforming",D25="N/A",C25="n/a"),"-",IF(D25="Partial",INDEX({"Low","Low","Medium","High"},MATCH(C25,{"Low","Medium","High","Critical"},0)),C25)))</f>
        <v/>
      </c>
      <c r="G25" s="5" t="inlineStr">
        <is>
          <t>Singapore law (matches entity). No arbitration or court forum: only "resolved amicably by consultation between the senior management".</t>
        </is>
      </c>
    </row>
    <row r="26">
      <c r="A26" s="4" t="inlineStr">
        <is>
          <t>ENTIRE</t>
        </is>
      </c>
      <c r="B26" s="5" t="inlineStr">
        <is>
          <t>Entire agreement</t>
        </is>
      </c>
      <c r="C26" s="5" t="inlineStr">
        <is>
          <t>Medium</t>
        </is>
      </c>
      <c r="D26" s="5" t="inlineStr">
        <is>
          <t>Missing</t>
        </is>
      </c>
      <c r="E26" s="5" t="inlineStr">
        <is>
          <t>-</t>
        </is>
      </c>
      <c r="F26" s="5">
        <f>IF(D26="","",IF(OR(D26="Conforming",D26="N/A",C26="n/a"),"-",IF(D26="Partial",INDEX({"Low","Low","Medium","High"},MATCH(C26,{"Low","Medium","High","Critical"},0)),C26)))</f>
        <v/>
      </c>
      <c r="G26" s="5" t="inlineStr">
        <is>
          <t>No entire-agreement or non-reliance clause; FAQ and forms are part of the contract but not incorporated.</t>
        </is>
      </c>
    </row>
    <row r="27">
      <c r="A27" s="4" t="inlineStr">
        <is>
          <t>SURV</t>
        </is>
      </c>
      <c r="B27" s="5" t="inlineStr">
        <is>
          <t>Survival</t>
        </is>
      </c>
      <c r="C27" s="5" t="inlineStr">
        <is>
          <t>Medium</t>
        </is>
      </c>
      <c r="D27" s="5" t="inlineStr">
        <is>
          <t>Partial</t>
        </is>
      </c>
      <c r="E27" s="5" t="inlineStr">
        <is>
          <t>11.4, 11.5; p9</t>
        </is>
      </c>
      <c r="F27" s="5">
        <f>IF(D27="","",IF(OR(D27="Conforming",D27="N/A",C27="n/a"),"-",IF(D27="Partial",INDEX({"Low","Low","Medium","High"},MATCH(C27,{"Low","Medium","High","Critical"},0)),C27)))</f>
        <v/>
      </c>
      <c r="G27" s="5" t="inlineStr">
        <is>
          <t>Generic survival of obligations "by their nature"; no express list.</t>
        </is>
      </c>
    </row>
    <row r="28">
      <c r="A28" s="4" t="inlineStr">
        <is>
          <t>ESIGN</t>
        </is>
      </c>
      <c r="B28" s="5" t="inlineStr">
        <is>
          <t>Electronic signature / counterparts</t>
        </is>
      </c>
      <c r="C28" s="5" t="inlineStr">
        <is>
          <t>Low</t>
        </is>
      </c>
      <c r="D28" s="5" t="inlineStr">
        <is>
          <t>Missing</t>
        </is>
      </c>
      <c r="E28" s="5" t="inlineStr">
        <is>
          <t>-</t>
        </is>
      </c>
      <c r="F28" s="5">
        <f>IF(D28="","",IF(OR(D28="Conforming",D28="N/A",C28="n/a"),"-",IF(D28="Partial",INDEX({"Low","Low","Medium","High"},MATCH(C28,{"Low","Medium","High","Critical"},0)),C28)))</f>
        <v/>
      </c>
      <c r="G28" s="5" t="inlineStr">
        <is>
          <t>No electronic-signature or counterparts clause (executed in wet ink).</t>
        </is>
      </c>
    </row>
    <row r="29">
      <c r="A29" s="4" t="inlineStr">
        <is>
          <t>SIGN</t>
        </is>
      </c>
      <c r="B29" s="5" t="inlineStr">
        <is>
          <t>Signature block</t>
        </is>
      </c>
      <c r="C29" s="5" t="inlineStr">
        <is>
          <t>Medium</t>
        </is>
      </c>
      <c r="D29" s="5" t="inlineStr">
        <is>
          <t>Conforming</t>
        </is>
      </c>
      <c r="E29" s="5" t="inlineStr">
        <is>
          <t>Signature page; p12</t>
        </is>
      </c>
      <c r="F29" s="5">
        <f>IF(D29="","",IF(OR(D29="Conforming",D29="N/A",C29="n/a"),"-",IF(D29="Partial",INDEX({"Low","Low","Medium","High"},MATCH(C29,{"Low","Medium","High","Critical"},0)),C29)))</f>
        <v/>
      </c>
      <c r="G29" s="5" t="inlineStr">
        <is>
          <t>One signatory per side with designation and date; emails are in 20.1.</t>
        </is>
      </c>
    </row>
    <row r="30">
      <c r="A30" s="4" t="inlineStr">
        <is>
          <t>TERM-CONV</t>
        </is>
      </c>
      <c r="B30" s="5" t="inlineStr">
        <is>
          <t>Termination for convenience</t>
        </is>
      </c>
      <c r="C30" s="5" t="inlineStr">
        <is>
          <t>Low</t>
        </is>
      </c>
      <c r="D30" s="5" t="inlineStr">
        <is>
          <t>Missing</t>
        </is>
      </c>
      <c r="E30" s="5" t="inlineStr">
        <is>
          <t>11.1 (mutual agreement only)</t>
        </is>
      </c>
      <c r="F30" s="5">
        <f>IF(D30="","",IF(OR(D30="Conforming",D30="N/A",C30="n/a"),"-",IF(D30="Partial",INDEX({"Low","Low","Medium","High"},MATCH(C30,{"Low","Medium","High","Critical"},0)),C30)))</f>
        <v/>
      </c>
      <c r="G30" s="5" t="inlineStr">
        <is>
          <t>No termination without cause.</t>
        </is>
      </c>
    </row>
    <row r="31">
      <c r="A31" s="4" t="inlineStr">
        <is>
          <t>NONSOL</t>
        </is>
      </c>
      <c r="B31" s="5" t="inlineStr">
        <is>
          <t>Non-solicitation of Start2 network</t>
        </is>
      </c>
      <c r="C31" s="5" t="inlineStr">
        <is>
          <t>Low</t>
        </is>
      </c>
      <c r="D31" s="5" t="inlineStr">
        <is>
          <t>Missing</t>
        </is>
      </c>
      <c r="E31" s="5" t="inlineStr">
        <is>
          <t>-</t>
        </is>
      </c>
      <c r="F31" s="5">
        <f>IF(D31="","",IF(OR(D31="Conforming",D31="N/A",C31="n/a"),"-",IF(D31="Partial",INDEX({"Low","Low","Medium","High"},MATCH(C31,{"Low","Medium","High","Critical"},0)),C31)))</f>
        <v/>
      </c>
      <c r="G31" s="5" t="inlineStr">
        <is>
          <t>Absent.</t>
        </is>
      </c>
    </row>
    <row r="32">
      <c r="A32" s="4" t="inlineStr">
        <is>
          <t>ABC</t>
        </is>
      </c>
      <c r="B32" s="5" t="inlineStr">
        <is>
          <t>Anti-bribery and corruption representation</t>
        </is>
      </c>
      <c r="C32" s="5" t="inlineStr">
        <is>
          <t>Low</t>
        </is>
      </c>
      <c r="D32" s="5" t="inlineStr">
        <is>
          <t>Missing</t>
        </is>
      </c>
      <c r="E32" s="5" t="inlineStr">
        <is>
          <t>-</t>
        </is>
      </c>
      <c r="F32" s="5">
        <f>IF(D32="","",IF(OR(D32="Conforming",D32="N/A",C32="n/a"),"-",IF(D32="Partial",INDEX({"Low","Low","Medium","High"},MATCH(C32,{"Low","Medium","High","Critical"},0)),C32)))</f>
        <v/>
      </c>
      <c r="G32" s="5" t="inlineStr">
        <is>
          <t>Absent. Counterparty is a government agency.</t>
        </is>
      </c>
    </row>
    <row r="33">
      <c r="A33" s="4" t="inlineStr">
        <is>
          <t>PUBLICITY</t>
        </is>
      </c>
      <c r="B33" s="5" t="inlineStr">
        <is>
          <t>Publicity / case study rights</t>
        </is>
      </c>
      <c r="C33" s="5" t="inlineStr">
        <is>
          <t>Low</t>
        </is>
      </c>
      <c r="D33" s="5" t="inlineStr">
        <is>
          <t>Missing</t>
        </is>
      </c>
      <c r="E33" s="5" t="inlineStr">
        <is>
          <t>15.1; p10</t>
        </is>
      </c>
      <c r="F33" s="5">
        <f>IF(D33="","",IF(OR(D33="Conforming",D33="N/A",C33="n/a"),"-",IF(D33="Partial",INDEX({"Low","Low","Medium","High"},MATCH(C33,{"Low","Medium","High","Critical"},0)),C33)))</f>
        <v/>
      </c>
      <c r="G33" s="5" t="inlineStr">
        <is>
          <t>15.1 restricts name and logo use; no publicity right.</t>
        </is>
      </c>
    </row>
    <row r="34">
      <c r="A34" s="4" t="inlineStr">
        <is>
          <t>ESCALATION</t>
        </is>
      </c>
      <c r="B34" s="5" t="inlineStr">
        <is>
          <t>Defined escalation contact</t>
        </is>
      </c>
      <c r="C34" s="5" t="inlineStr">
        <is>
          <t>Low</t>
        </is>
      </c>
      <c r="D34" s="5" t="inlineStr">
        <is>
          <t>Partial</t>
        </is>
      </c>
      <c r="E34" s="5" t="inlineStr">
        <is>
          <t>20.1; p11</t>
        </is>
      </c>
      <c r="F34" s="5">
        <f>IF(D34="","",IF(OR(D34="Conforming",D34="N/A",C34="n/a"),"-",IF(D34="Partial",INDEX({"Low","Low","Medium","High"},MATCH(C34,{"Low","Medium","High","Critical"},0)),C34)))</f>
        <v/>
      </c>
      <c r="G34" s="5" t="inlineStr">
        <is>
          <t>Named notice contacts, not operational contacts.</t>
        </is>
      </c>
    </row>
    <row r="35">
      <c r="A35" s="4" t="inlineStr">
        <is>
          <t>SEVERABILITY</t>
        </is>
      </c>
      <c r="B35" s="5" t="inlineStr">
        <is>
          <t>Severability clause</t>
        </is>
      </c>
      <c r="C35" s="5" t="inlineStr">
        <is>
          <t>Low</t>
        </is>
      </c>
      <c r="D35" s="5" t="inlineStr">
        <is>
          <t>Missing</t>
        </is>
      </c>
      <c r="E35" s="5" t="inlineStr">
        <is>
          <t>-</t>
        </is>
      </c>
      <c r="F35" s="5">
        <f>IF(D35="","",IF(OR(D35="Conforming",D35="N/A",C35="n/a"),"-",IF(D35="Partial",INDEX({"Low","Low","Medium","High"},MATCH(C35,{"Low","Medium","High","Critical"},0)),C35)))</f>
        <v/>
      </c>
      <c r="G35" s="5" t="inlineStr">
        <is>
          <t>Absent.</t>
        </is>
      </c>
    </row>
  </sheetData>
  <autoFilter ref="A1:G35"/>
  <conditionalFormatting sqref="C2:C35">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F2:F35">
    <cfRule type="cellIs" priority="5" operator="equal" dxfId="0">
      <formula>"Critical"</formula>
    </cfRule>
    <cfRule type="cellIs" priority="6" operator="equal" dxfId="1">
      <formula>"High"</formula>
    </cfRule>
    <cfRule type="cellIs" priority="7" operator="equal" dxfId="2">
      <formula>"Medium"</formula>
    </cfRule>
    <cfRule type="cellIs" priority="8" operator="equal" dxfId="3">
      <formula>"Low"</formula>
    </cfRule>
  </conditionalFormatting>
  <dataValidations count="2">
    <dataValidation sqref="C2:C35" showDropDown="0" showInputMessage="0" showErrorMessage="0" allowBlank="1" type="list">
      <formula1>"Critical,High,Medium,Low,n/a"</formula1>
    </dataValidation>
    <dataValidation sqref="D2:D35" showDropDown="0" showInputMessage="0" showErrorMessage="0" allowBlank="1" type="list">
      <formula1>"Conforming,Partial,Deviant,Missing,N/A"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14" customWidth="1" min="3" max="3"/>
    <col width="80" customWidth="1" min="4" max="4"/>
  </cols>
  <sheetData>
    <row r="1">
      <c r="A1" s="1" t="inlineStr">
        <is>
          <t>#</t>
        </is>
      </c>
      <c r="B1" s="1" t="inlineStr">
        <is>
          <t>Check</t>
        </is>
      </c>
      <c r="C1" s="1" t="inlineStr">
        <is>
          <t>Result</t>
        </is>
      </c>
      <c r="D1" s="1" t="inlineStr">
        <is>
          <t>Evidence</t>
        </is>
      </c>
    </row>
    <row r="2">
      <c r="A2" s="5" t="n">
        <v>1</v>
      </c>
      <c r="B2" s="5" t="inlineStr">
        <is>
          <t>Every bracketed placeholder ([XXX], COMPANY DESCRIPTION, [Insert commencement event]) is filled. A signed agreement with a placeholder still in it is a live incident, not a defect, escalate immediately.</t>
        </is>
      </c>
      <c r="C2" s="5" t="inlineStr">
        <is>
          <t>Pass</t>
        </is>
      </c>
      <c r="D2" s="5" t="inlineStr">
        <is>
          <t>Body has no blanks. Claim and GIRO forms are blank by design.</t>
        </is>
      </c>
    </row>
    <row r="3">
      <c r="A3" s="5" t="n">
        <v>2</v>
      </c>
      <c r="B3" s="5" t="inlineStr">
        <is>
          <t>Clause numbering is sequential and matches any cross-references elsewhere in the document. Checked automatically by the assemble step for clauses built from the Clauses sheet.</t>
        </is>
      </c>
      <c r="C3" s="5" t="inlineStr">
        <is>
          <t>Fail</t>
        </is>
      </c>
      <c r="D3" s="5" t="inlineStr">
        <is>
          <t>Two clauses numbered 7.2; typos in 7.1 and 8.3.</t>
        </is>
      </c>
    </row>
    <row r="4">
      <c r="A4" s="5" t="n">
        <v>3</v>
      </c>
      <c r="B4" s="5" t="inlineStr">
        <is>
          <t>Term dates in the recitals, the term clause, and Annex/Appendix all agree with each other.</t>
        </is>
      </c>
      <c r="C4" s="5" t="inlineStr">
        <is>
          <t>Fail</t>
        </is>
      </c>
      <c r="D4" s="5" t="inlineStr">
        <is>
          <t>Preamble 04/11/20019 against 04/11/2019 elsewhere; end date not stated.</t>
        </is>
      </c>
    </row>
    <row r="5">
      <c r="A5" s="5" t="n">
        <v>4</v>
      </c>
      <c r="B5" s="5" t="inlineStr">
        <is>
          <t>Contracting entity name is identical everywhere it appears: cover page, signature block, bank details, and any Chinese or Korean-language mirror text.</t>
        </is>
      </c>
      <c r="C5" s="5" t="inlineStr">
        <is>
          <t>Pass</t>
        </is>
      </c>
      <c r="D5" s="5" t="inlineStr">
        <is>
          <t>GEA and ESG consistent.</t>
        </is>
      </c>
    </row>
    <row r="6">
      <c r="A6" s="5" t="n">
        <v>5</v>
      </c>
      <c r="B6" s="5" t="inlineStr">
        <is>
          <t>Bilingual agreements: the two language versions say the same thing on fee, term dates, and liability cap at minimum. Have a fluent reviewer confirm, do not assume.</t>
        </is>
      </c>
      <c r="C6" s="5" t="inlineStr">
        <is>
          <t>N/A</t>
        </is>
      </c>
      <c r="D6" s="5" t="inlineStr">
        <is>
          <t>Monolingual.</t>
        </is>
      </c>
    </row>
    <row r="7">
      <c r="A7" s="5" t="n">
        <v>6</v>
      </c>
      <c r="B7" s="5" t="inlineStr">
        <is>
          <t>Signature block has the right number of lines for the actual signing parties, no blank line left for a party who will not sign.</t>
        </is>
      </c>
      <c r="C7" s="5" t="inlineStr">
        <is>
          <t>Pass</t>
        </is>
      </c>
      <c r="D7" s="5" t="inlineStr">
        <is>
          <t>One signed line per side.</t>
        </is>
      </c>
    </row>
    <row r="8">
      <c r="A8" s="5" t="n">
        <v>7</v>
      </c>
      <c r="B8" s="5" t="inlineStr">
        <is>
          <t>Bank details in the payment clause match the named contracting entity, not a different Start2 entity.</t>
        </is>
      </c>
      <c r="C8" s="5" t="inlineStr">
        <is>
          <t>N/A</t>
        </is>
      </c>
      <c r="D8" s="5" t="inlineStr">
        <is>
          <t>No bank details in the agreement; GIRO form blank.</t>
        </is>
      </c>
    </row>
    <row r="9">
      <c r="A9" s="5" t="n">
        <v>8</v>
      </c>
      <c r="B9" s="5" t="inlineStr">
        <is>
          <t>No leftover tracked-change or redline artifacts in the body text.</t>
        </is>
      </c>
      <c r="C9" s="5" t="inlineStr">
        <is>
          <t>Pass</t>
        </is>
      </c>
      <c r="D9" s="5" t="inlineStr">
        <is>
          <t>None visible in the scan.</t>
        </is>
      </c>
    </row>
    <row r="10">
      <c r="A10" s="5" t="n">
        <v>9</v>
      </c>
      <c r="B10" s="5" t="inlineStr">
        <is>
          <t>Appendix or Schedule numbers referenced in the body match what is actually attached, no reference to a Schedule that doesn't exist.</t>
        </is>
      </c>
      <c r="C10" s="5" t="inlineStr">
        <is>
          <t>Fail</t>
        </is>
      </c>
      <c r="D10" s="5" t="inlineStr">
        <is>
          <t>Annex A, D, E, F are icons only; 7.3 cites wrong annex letters (E and F for D and E).</t>
        </is>
      </c>
    </row>
    <row r="11">
      <c r="A11" s="5" t="n">
        <v>10</v>
      </c>
      <c r="B11" s="5" t="inlineStr">
        <is>
          <t>Appendix content is specific to this deal, not another client's scope carried over from a previous draft.</t>
        </is>
      </c>
      <c r="C11" s="5" t="inlineStr">
        <is>
          <t>Cannot verify</t>
        </is>
      </c>
      <c r="D11" s="5" t="inlineStr">
        <is>
          <t>Annex A absent; Annex B names "Scaler8" while the body says GIA Innovation Launchpad.</t>
        </is>
      </c>
    </row>
    <row r="12">
      <c r="A12" s="5" t="n">
        <v>11</v>
      </c>
      <c r="B12" s="5" t="inlineStr">
        <is>
          <t>Cross-references in the contract point to clauses and annexes that exist and are correctly numbered.</t>
        </is>
      </c>
      <c r="C12" s="5" t="inlineStr">
        <is>
          <t>Fail</t>
        </is>
      </c>
      <c r="D12" s="5" t="inlineStr">
        <is>
          <t>Two clauses numbered 7.2; Module 2 annex letters wrong.</t>
        </is>
      </c>
    </row>
    <row r="13">
      <c r="A13" s="5" t="n">
        <v>12</v>
      </c>
      <c r="B13" s="5" t="inlineStr">
        <is>
          <t>Currency, fee figures, governing law, and arbitration body match the actual contracting entity for this deal, not copy-paste residue from a different country's last draft.</t>
        </is>
      </c>
      <c r="C13" s="5" t="inlineStr">
        <is>
          <t>Pass</t>
        </is>
      </c>
      <c r="D13" s="5" t="inlineStr">
        <is>
          <t>SGD and Singapore law; no arbitration body stated (see DISPUTE).</t>
        </is>
      </c>
    </row>
  </sheetData>
  <dataValidations count="1">
    <dataValidation sqref="C2:C13" showDropDown="0" showInputMessage="0" showErrorMessage="0" allowBlank="1" type="list">
      <formula1>"Pass,Fail,N/A,Cannot verify"</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2026-10-15T01:21:06Z</dcterms:created>
  <dcterms:modified xsi:type="dcterms:W3CDTF">2026-10-15T01:21:06Z</dcterms:modified>
</cp:coreProperties>
</file>